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Test Cases" sheetId="2" state="visible" r:id="rId4"/>
    <sheet name="Defects" sheetId="3" state="visible" r:id="rId5"/>
    <sheet name="Execution Proof" sheetId="4" state="visible" r:id="rId6"/>
  </sheets>
  <definedNames>
    <definedName function="false" hidden="true" localSheetId="1" name="_xlnm._FilterDatabase" vbProcedure="false">'Test Cases'!$A$1:$J$150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<sst xmlns="http://schemas.openxmlformats.org/spreadsheetml/2006/main" count="1506" uniqueCount="588">
  <si>
    <t xml:space="preserve">E-commerce Store - Test Execution Summary</t>
  </si>
  <si>
    <t xml:space="preserve">Run date: 2026-10-19  |  Runner: pytest + pytest-django  |  Database: PostgreSQL  |  Command: pytest</t>
  </si>
  <si>
    <t xml:space="preserve">App / group</t>
  </si>
  <si>
    <t xml:space="preserve">Prefix</t>
  </si>
  <si>
    <t xml:space="preserve">Total</t>
  </si>
  <si>
    <t xml:space="preserve">Pass</t>
  </si>
  <si>
    <t xml:space="preserve">Fail</t>
  </si>
  <si>
    <t xml:space="preserve">Blocked</t>
  </si>
  <si>
    <t xml:space="preserve">Pass rate</t>
  </si>
  <si>
    <t xml:space="preserve">authen (auth)</t>
  </si>
  <si>
    <t xml:space="preserve">AUTH</t>
  </si>
  <si>
    <t xml:space="preserve">carts</t>
  </si>
  <si>
    <t xml:space="preserve">CART</t>
  </si>
  <si>
    <t xml:space="preserve">products</t>
  </si>
  <si>
    <t xml:space="preserve">PRD</t>
  </si>
  <si>
    <t xml:space="preserve">inventory</t>
  </si>
  <si>
    <t xml:space="preserve">INV</t>
  </si>
  <si>
    <t xml:space="preserve">orders</t>
  </si>
  <si>
    <t xml:space="preserve">ORD</t>
  </si>
  <si>
    <t xml:space="preserve">rate limiter</t>
  </si>
  <si>
    <t xml:space="preserve">RL</t>
  </si>
  <si>
    <t xml:space="preserve">TOTAL</t>
  </si>
  <si>
    <t xml:space="preserve">How to read this:</t>
  </si>
  <si>
    <t xml:space="preserve">PASS = automated assertions passed.  FAIL = the app behaved differently from the expected result (see Defects sheet).</t>
  </si>
  <si>
    <t xml:space="preserve">BLOCKED = result is not trustworthy because of a test-setup problem (wrong URL constant or module path). These are re-run items, not app results.</t>
  </si>
  <si>
    <t xml:space="preserve">Five cart tests (CART-33, 34, 35, 42, 43) were reported as passed by pytest but are marked BLOCKED here because they only passed on a mistyped URL's 404.</t>
  </si>
  <si>
    <t xml:space="preserve">Evidence: the pytest output is saved as test_output.txt and summarised on the 'Execution Proof' sheet.</t>
  </si>
  <si>
    <t xml:space="preserve">Test ID</t>
  </si>
  <si>
    <t xml:space="preserve">Feature</t>
  </si>
  <si>
    <t xml:space="preserve">Preconditions</t>
  </si>
  <si>
    <t xml:space="preserve">Steps</t>
  </si>
  <si>
    <t xml:space="preserve">Input</t>
  </si>
  <si>
    <t xml:space="preserve">Expected Result</t>
  </si>
  <si>
    <t xml:space="preserve">Actual Result</t>
  </si>
  <si>
    <t xml:space="preserve">Status</t>
  </si>
  <si>
    <t xml:space="preserve">Defect ID</t>
  </si>
  <si>
    <t xml:space="preserve">Evidence Link</t>
  </si>
  <si>
    <t xml:space="preserve">AUTH-01</t>
  </si>
  <si>
    <t xml:space="preserve">Signup</t>
  </si>
  <si>
    <t xml:space="preserve">Default tenant (id=2) exists; user 'alice' registered unless the scenario says otherwise; fresh API client</t>
  </si>
  <si>
    <t xml:space="preserve">1. Create the preconditions. 2. Send POST /signup/ with the input. 3. Compare the HTTP status and database state with the Expected Result.</t>
  </si>
  <si>
    <t xml:space="preserve">Valid payload creates a user in the default tenant</t>
  </si>
  <si>
    <t xml:space="preserve">201</t>
  </si>
  <si>
    <t xml:space="preserve">As expected - automated assertions passed (pytest run 2026-10-19)</t>
  </si>
  <si>
    <t xml:space="preserve">PASS</t>
  </si>
  <si>
    <t xml:space="preserve">test_output.txt (pytest run 2026-10-19) - paste Drive link here</t>
  </si>
  <si>
    <t xml:space="preserve">AUTH-02</t>
  </si>
  <si>
    <t xml:space="preserve">Missing username or password</t>
  </si>
  <si>
    <t xml:space="preserve">400, no user created</t>
  </si>
  <si>
    <t xml:space="preserve">AUTH-03</t>
  </si>
  <si>
    <t xml:space="preserve">Same payload submitted twice (retry)</t>
  </si>
  <si>
    <t xml:space="preserve">201 then 400, one row</t>
  </si>
  <si>
    <t xml:space="preserve">AUTH-04</t>
  </si>
  <si>
    <t xml:space="preserve">Username already taken by existing user</t>
  </si>
  <si>
    <t xml:space="preserve">400</t>
  </si>
  <si>
    <t xml:space="preserve">AUTH-05</t>
  </si>
  <si>
    <t xml:space="preserve">Malformed email</t>
  </si>
  <si>
    <t xml:space="preserve">AUTH-06</t>
  </si>
  <si>
    <t xml:space="preserve">Username 150 chars accepted, 151 rejected</t>
  </si>
  <si>
    <t xml:space="preserve">201 / 400</t>
  </si>
  <si>
    <t xml:space="preserve">AUTH-07</t>
  </si>
  <si>
    <t xml:space="preserve">One-character password</t>
  </si>
  <si>
    <t xml:space="preserve">400 (password validation)</t>
  </si>
  <si>
    <t xml:space="preserve">201 Created - password '1' was accepted (no password validation)</t>
  </si>
  <si>
    <t xml:space="preserve">FAIL</t>
  </si>
  <si>
    <t xml:space="preserve">D-01</t>
  </si>
  <si>
    <t xml:space="preserve">AUTH-08</t>
  </si>
  <si>
    <t xml:space="preserve">Default tenant (id=2) does not exist</t>
  </si>
  <si>
    <t xml:space="preserve">handled error, not 500</t>
  </si>
  <si>
    <t xml:space="preserve">500 Internal Server Error - Tenant.objects.get(id=2) raised DoesNotExist</t>
  </si>
  <si>
    <t xml:space="preserve">D-02</t>
  </si>
  <si>
    <t xml:space="preserve">AUTH-09</t>
  </si>
  <si>
    <t xml:space="preserve">GET on signup endpoint</t>
  </si>
  <si>
    <t xml:space="preserve">405</t>
  </si>
  <si>
    <t xml:space="preserve">AUTH-10</t>
  </si>
  <si>
    <t xml:space="preserve">Login</t>
  </si>
  <si>
    <t xml:space="preserve">1. Create the preconditions. 2. Send POST /login/ with the input. 3. Compare the HTTP status and database state with the Expected Result.</t>
  </si>
  <si>
    <t xml:space="preserve">Valid credentials</t>
  </si>
  <si>
    <t xml:space="preserve">200, httpOnly access+refresh cookies, no tokens in body</t>
  </si>
  <si>
    <t xml:space="preserve">AUTH-11</t>
  </si>
  <si>
    <t xml:space="preserve">Issued cookies contain valid JWTs for the right user</t>
  </si>
  <si>
    <t xml:space="preserve">decode OK</t>
  </si>
  <si>
    <t xml:space="preserve">AUTH-12</t>
  </si>
  <si>
    <t xml:space="preserve">Wrong password</t>
  </si>
  <si>
    <t xml:space="preserve">401, no cookies</t>
  </si>
  <si>
    <t xml:space="preserve">AUTH-13</t>
  </si>
  <si>
    <t xml:space="preserve">Username does not exist</t>
  </si>
  <si>
    <t xml:space="preserve">401</t>
  </si>
  <si>
    <t xml:space="preserve">AUTH-14</t>
  </si>
  <si>
    <t xml:space="preserve">AUTH-15</t>
  </si>
  <si>
    <t xml:space="preserve">Deactivated account</t>
  </si>
  <si>
    <t xml:space="preserve">AUTH-16</t>
  </si>
  <si>
    <t xml:space="preserve">GET on login endpoint</t>
  </si>
  <si>
    <t xml:space="preserve">AUTH-20</t>
  </si>
  <si>
    <t xml:space="preserve">Refresh</t>
  </si>
  <si>
    <t xml:space="preserve">1. Create the preconditions. 2. Send POST /token/refresh/ with the input. 3. Compare the HTTP status and database state with the Expected Result.</t>
  </si>
  <si>
    <t xml:space="preserve">Valid refresh cookie</t>
  </si>
  <si>
    <t xml:space="preserve">200, new access cookie</t>
  </si>
  <si>
    <t xml:space="preserve">AUTH-21</t>
  </si>
  <si>
    <t xml:space="preserve">No refresh cookie</t>
  </si>
  <si>
    <t xml:space="preserve">401 'Refresh token missing'</t>
  </si>
  <si>
    <t xml:space="preserve">AUTH-22</t>
  </si>
  <si>
    <t xml:space="preserve">Malformed token</t>
  </si>
  <si>
    <t xml:space="preserve">401 'Invalid refresh token'</t>
  </si>
  <si>
    <t xml:space="preserve">AUTH-23</t>
  </si>
  <si>
    <t xml:space="preserve">Access token sent in refresh cookie</t>
  </si>
  <si>
    <t xml:space="preserve">401 (token type check)</t>
  </si>
  <si>
    <t xml:space="preserve">AUTH-24</t>
  </si>
  <si>
    <t xml:space="preserve">Expired refresh token</t>
  </si>
  <si>
    <t xml:space="preserve">AUTH-30</t>
  </si>
  <si>
    <t xml:space="preserve">1. Create the preconditions. 2. Send GET /status/ with the input. 3. Compare the HTTP status and database state with the Expected Result.</t>
  </si>
  <si>
    <t xml:space="preserve">No access cookie</t>
  </si>
  <si>
    <t xml:space="preserve">200 authenticated=false</t>
  </si>
  <si>
    <t xml:space="preserve">AUTH-31</t>
  </si>
  <si>
    <t xml:space="preserve">Valid access cookie</t>
  </si>
  <si>
    <t xml:space="preserve">200 authenticated=true</t>
  </si>
  <si>
    <t xml:space="preserve">AUTH-32</t>
  </si>
  <si>
    <t xml:space="preserve">Malformed access cookie</t>
  </si>
  <si>
    <t xml:space="preserve">401 Unauthorized returned instead of 200 {authenticated: false}</t>
  </si>
  <si>
    <t xml:space="preserve">D-03</t>
  </si>
  <si>
    <t xml:space="preserve">AUTH-33</t>
  </si>
  <si>
    <t xml:space="preserve">Expired access cookie</t>
  </si>
  <si>
    <t xml:space="preserve">401 response has no 'authenticated' key (expected 200 {authenticated: false})</t>
  </si>
  <si>
    <t xml:space="preserve">AUTH-34</t>
  </si>
  <si>
    <t xml:space="preserve">Refresh token placed in access cookie</t>
  </si>
  <si>
    <t xml:space="preserve">authenticated=false</t>
  </si>
  <si>
    <t xml:space="preserve">AUTH-40</t>
  </si>
  <si>
    <t xml:space="preserve">Logout</t>
  </si>
  <si>
    <t xml:space="preserve">1. Create the preconditions. 2. Send POST /logout/ with the input. 3. Compare the HTTP status and database state with the Expected Result.</t>
  </si>
  <si>
    <t xml:space="preserve">Authenticated logout</t>
  </si>
  <si>
    <t xml:space="preserve">200, access+refresh cookies expired</t>
  </si>
  <si>
    <t xml:space="preserve">AUTH-41</t>
  </si>
  <si>
    <t xml:space="preserve">GET on logout endpoint</t>
  </si>
  <si>
    <t xml:space="preserve">AUTH-42</t>
  </si>
  <si>
    <t xml:space="preserve">Regression flow</t>
  </si>
  <si>
    <t xml:space="preserve">1. Create the preconditions. 2. Send the login / status / refresh / logout / cart endpoints in sequence with the input. 3. Compare the HTTP status and database state with the Expected Result.</t>
  </si>
  <si>
    <t xml:space="preserve">login -&gt; status true -&gt; logout -&gt; status false</t>
  </si>
  <si>
    <t xml:space="preserve">AUTH-43</t>
  </si>
  <si>
    <t xml:space="preserve">expired access -&gt; status false -&gt; refresh -&gt; status true</t>
  </si>
  <si>
    <t xml:space="preserve">CART-01</t>
  </si>
  <si>
    <t xml:space="preserve">Add</t>
  </si>
  <si>
    <t xml:space="preserve">Logged-in user in tenant A; products and stock created as the scenario states; cart empty unless stated</t>
  </si>
  <si>
    <t xml:space="preserve">1. Create the preconditions. 2. Send POST add-to-cart with the input. 3. Compare the HTTP status and database state with the Expected Result.</t>
  </si>
  <si>
    <t xml:space="preserve">Valid product + quantity</t>
  </si>
  <si>
    <t xml:space="preserve">201, item created with that quantity</t>
  </si>
  <si>
    <t xml:space="preserve">CART-02</t>
  </si>
  <si>
    <t xml:space="preserve">quantity omitted</t>
  </si>
  <si>
    <t xml:space="preserve">201, quantity defaults to 1</t>
  </si>
  <si>
    <t xml:space="preserve">CART-03</t>
  </si>
  <si>
    <t xml:space="preserve">quantity "3" (string)</t>
  </si>
  <si>
    <t xml:space="preserve">201, stored as integer 3</t>
  </si>
  <si>
    <t xml:space="preserve">CART-04</t>
  </si>
  <si>
    <t xml:space="preserve">quantity 0, -1, "abc", "1.5", null</t>
  </si>
  <si>
    <t xml:space="preserve">400, nothing added</t>
  </si>
  <si>
    <t xml:space="preserve">CART-05</t>
  </si>
  <si>
    <t xml:space="preserve">Same product added twice (retry)</t>
  </si>
  <si>
    <t xml:space="preserve">one row, quantities summed</t>
  </si>
  <si>
    <t xml:space="preserve">CART-06</t>
  </si>
  <si>
    <t xml:space="preserve">Second add pushes total above stock</t>
  </si>
  <si>
    <t xml:space="preserve">400, quantity unchanged</t>
  </si>
  <si>
    <t xml:space="preserve">CART-07</t>
  </si>
  <si>
    <t xml:space="preserve">quantity == stock</t>
  </si>
  <si>
    <t xml:space="preserve">CART-08</t>
  </si>
  <si>
    <t xml:space="preserve">First add with quantity &gt; stock</t>
  </si>
  <si>
    <t xml:space="preserve">201 Created - quantity above stock was accepted on the first add</t>
  </si>
  <si>
    <t xml:space="preserve">D-04</t>
  </si>
  <si>
    <t xml:space="preserve">CART-09</t>
  </si>
  <si>
    <t xml:space="preserve">Stock is 0</t>
  </si>
  <si>
    <t xml:space="preserve">CART-10</t>
  </si>
  <si>
    <t xml:space="preserve">Product has no stock record</t>
  </si>
  <si>
    <t xml:space="preserve">400 'inventory not configured'</t>
  </si>
  <si>
    <t xml:space="preserve">CART-11</t>
  </si>
  <si>
    <t xml:space="preserve">Non-existent / missing product_id</t>
  </si>
  <si>
    <t xml:space="preserve">404</t>
  </si>
  <si>
    <t xml:space="preserve">CART-12</t>
  </si>
  <si>
    <t xml:space="preserve">Inactive or soft-deleted product</t>
  </si>
  <si>
    <t xml:space="preserve">CART-13</t>
  </si>
  <si>
    <t xml:space="preserve">Product belongs to another tenant</t>
  </si>
  <si>
    <t xml:space="preserve">404 (tenant isolation)</t>
  </si>
  <si>
    <t xml:space="preserve">CART-14</t>
  </si>
  <si>
    <t xml:space="preserve">size + color provided</t>
  </si>
  <si>
    <t xml:space="preserve">stored on the cart item</t>
  </si>
  <si>
    <t xml:space="preserve">CART-15</t>
  </si>
  <si>
    <t xml:space="preserve">Size M has 0 stock but product total is 10</t>
  </si>
  <si>
    <t xml:space="preserve">400 'out of stock'</t>
  </si>
  <si>
    <t xml:space="preserve">CART-16</t>
  </si>
  <si>
    <t xml:space="preserve">Size L has 3: add 2 then add 2</t>
  </si>
  <si>
    <t xml:space="preserve">second add 400, quantity stays 2</t>
  </si>
  <si>
    <t xml:space="preserve">CART-17</t>
  </si>
  <si>
    <t xml:space="preserve">No credentials</t>
  </si>
  <si>
    <t xml:space="preserve">401 or 403</t>
  </si>
  <si>
    <t xml:space="preserve">CART-20</t>
  </si>
  <si>
    <t xml:space="preserve">View</t>
  </si>
  <si>
    <t xml:space="preserve">1. Create the preconditions. 2. Send GET cart with the input. 3. Compare the HTTP status and database state with the Expected Result.</t>
  </si>
  <si>
    <t xml:space="preserve">User with no cart yet</t>
  </si>
  <si>
    <t xml:space="preserve">200, empty items list, cart auto-created</t>
  </si>
  <si>
    <t xml:space="preserve">CART-21</t>
  </si>
  <si>
    <t xml:space="preserve">Cart with items</t>
  </si>
  <si>
    <t xml:space="preserve">200, items include quantity/size/color</t>
  </si>
  <si>
    <t xml:space="preserve">CART-22</t>
  </si>
  <si>
    <t xml:space="preserve">Another user's cart contents</t>
  </si>
  <si>
    <t xml:space="preserve">not visible</t>
  </si>
  <si>
    <t xml:space="preserve">CART-23</t>
  </si>
  <si>
    <t xml:space="preserve">CART-30</t>
  </si>
  <si>
    <t xml:space="preserve">Update</t>
  </si>
  <si>
    <t xml:space="preserve">1. Create the preconditions. 2. Send PATCH cart item quantity with the input. 3. Compare the HTTP status and database state with the Expected Result.</t>
  </si>
  <si>
    <t xml:space="preserve">Valid new quantity</t>
  </si>
  <si>
    <t xml:space="preserve">200, quantity changed</t>
  </si>
  <si>
    <t xml:space="preserve">404 Not Found - the update/remove URL used by the test does not match carts/urls.py. Not an app result; re-run after fixing the URL constants</t>
  </si>
  <si>
    <t xml:space="preserve">BLOCKED</t>
  </si>
  <si>
    <t xml:space="preserve">Retest</t>
  </si>
  <si>
    <t xml:space="preserve">CART-31</t>
  </si>
  <si>
    <t xml:space="preserve">200; stock+1 -&gt; 400, quantity unchanged</t>
  </si>
  <si>
    <t xml:space="preserve">CART-32</t>
  </si>
  <si>
    <t xml:space="preserve">quantity 0, -3, "x"</t>
  </si>
  <si>
    <t xml:space="preserve">CART-33</t>
  </si>
  <si>
    <t xml:space="preserve">Product exists but is not in the user's cart</t>
  </si>
  <si>
    <t xml:space="preserve">Reported PASS only because the mistyped URL returns 404, which is also the expected code. Not a valid pass; re-run after fixing URL constants</t>
  </si>
  <si>
    <t xml:space="preserve">CART-34</t>
  </si>
  <si>
    <t xml:space="preserve">Non-existent product id</t>
  </si>
  <si>
    <t xml:space="preserve">CART-35</t>
  </si>
  <si>
    <t xml:space="preserve">Other user tries to change my item</t>
  </si>
  <si>
    <t xml:space="preserve">404, my quantity unchanged</t>
  </si>
  <si>
    <t xml:space="preserve">CART-36</t>
  </si>
  <si>
    <t xml:space="preserve">Item size L has 3 in stock</t>
  </si>
  <si>
    <t xml:space="preserve">4 -&gt; 400, 3 -&gt; 200</t>
  </si>
  <si>
    <t xml:space="preserve">CART-37</t>
  </si>
  <si>
    <t xml:space="preserve">CART-40</t>
  </si>
  <si>
    <t xml:space="preserve">Remove</t>
  </si>
  <si>
    <t xml:space="preserve">1. Create the preconditions. 2. Send DELETE cart item with the input. 3. Compare the HTTP status and database state with the Expected Result.</t>
  </si>
  <si>
    <t xml:space="preserve">Item in cart</t>
  </si>
  <si>
    <t xml:space="preserve">200, item deleted</t>
  </si>
  <si>
    <t xml:space="preserve">CART-41</t>
  </si>
  <si>
    <t xml:space="preserve">Same delete sent twice (retry)</t>
  </si>
  <si>
    <t xml:space="preserve">200 then 404, no crash</t>
  </si>
  <si>
    <t xml:space="preserve">CART-42</t>
  </si>
  <si>
    <t xml:space="preserve">Product not in cart</t>
  </si>
  <si>
    <t xml:space="preserve">CART-43</t>
  </si>
  <si>
    <t xml:space="preserve">Other user deletes my item</t>
  </si>
  <si>
    <t xml:space="preserve">404, item still there</t>
  </si>
  <si>
    <t xml:space="preserve">CART-44</t>
  </si>
  <si>
    <t xml:space="preserve">Product deactivated after being added</t>
  </si>
  <si>
    <t xml:space="preserve">200, item removable</t>
  </si>
  <si>
    <t xml:space="preserve">404 Not Found - test URL mismatch (see above). Possible defect D-11, confirm after re-run</t>
  </si>
  <si>
    <t xml:space="preserve">D-11?</t>
  </si>
  <si>
    <t xml:space="preserve">CART-45</t>
  </si>
  <si>
    <t xml:space="preserve">CART-50</t>
  </si>
  <si>
    <t xml:space="preserve">add -&gt; update -&gt; view -&gt; remove -&gt; view empty</t>
  </si>
  <si>
    <t xml:space="preserve">PRD-01</t>
  </si>
  <si>
    <t xml:space="preserve">List</t>
  </si>
  <si>
    <t xml:space="preserve">Logged-in user in tenant A; Redis replaced by in-memory fake; sample products created as the scenario states</t>
  </si>
  <si>
    <t xml:space="preserve">1. Create the preconditions. 2. Send GET /products/ with the input. 3. Compare the HTTP status and database state with the Expected Result.</t>
  </si>
  <si>
    <t xml:space="preserve">Own active products only</t>
  </si>
  <si>
    <t xml:space="preserve">other tenant, inactive, deleted hidden</t>
  </si>
  <si>
    <t xml:space="preserve">PRD-02</t>
  </si>
  <si>
    <t xml:space="preserve">PRD-03</t>
  </si>
  <si>
    <t xml:space="preserve">Search</t>
  </si>
  <si>
    <t xml:space="preserve">1. Create the preconditions. 2. Send GET /products/?search= with the input. 3. Compare the HTTP status and database state with the Expected Result.</t>
  </si>
  <si>
    <t xml:space="preserve">?search=hoodie matches name</t>
  </si>
  <si>
    <t xml:space="preserve">only matching product</t>
  </si>
  <si>
    <t xml:space="preserve">PRD-04</t>
  </si>
  <si>
    <t xml:space="preserve">No match</t>
  </si>
  <si>
    <t xml:space="preserve">200 with empty list</t>
  </si>
  <si>
    <t xml:space="preserve">PRD-05</t>
  </si>
  <si>
    <t xml:space="preserve">Filter</t>
  </si>
  <si>
    <t xml:space="preserve">1. Create the preconditions. 2. Send GET /products/ with filter params with the input. 3. Compare the HTTP status and database state with the Expected Result.</t>
  </si>
  <si>
    <t xml:space="preserve">min_price / max_price (inclusive)</t>
  </si>
  <si>
    <t xml:space="preserve">correct subset</t>
  </si>
  <si>
    <t xml:space="preserve">PRD-06</t>
  </si>
  <si>
    <t xml:space="preserve">min_price=abc</t>
  </si>
  <si>
    <t xml:space="preserve">200, filter ignored, all products returned</t>
  </si>
  <si>
    <t xml:space="preserve">PRD-07</t>
  </si>
  <si>
    <t xml:space="preserve">category id and is_featured</t>
  </si>
  <si>
    <t xml:space="preserve">PRD-08</t>
  </si>
  <si>
    <t xml:space="preserve">?color=RED matches specifications color 'red'</t>
  </si>
  <si>
    <t xml:space="preserve">red product only</t>
  </si>
  <si>
    <t xml:space="preserve">PRD-09</t>
  </si>
  <si>
    <t xml:space="preserve">?size=L matches products whose size_stock has key L</t>
  </si>
  <si>
    <t xml:space="preserve">L product only</t>
  </si>
  <si>
    <t xml:space="preserve">PRD-10</t>
  </si>
  <si>
    <t xml:space="preserve">spec_key + spec_value</t>
  </si>
  <si>
    <t xml:space="preserve">matching product only</t>
  </si>
  <si>
    <t xml:space="preserve">PRD-11</t>
  </si>
  <si>
    <t xml:space="preserve">Ordering</t>
  </si>
  <si>
    <t xml:space="preserve">1. Create the preconditions. 2. Send GET /products/?ordering= with the input. 3. Compare the HTTP status and database state with the Expected Result.</t>
  </si>
  <si>
    <t xml:space="preserve">?ordering=price and -price</t>
  </si>
  <si>
    <t xml:space="preserve">ascending / descending</t>
  </si>
  <si>
    <t xml:space="preserve">PRD-12</t>
  </si>
  <si>
    <t xml:space="preserve">Pagination</t>
  </si>
  <si>
    <t xml:space="preserve">1. Create the preconditions. 2. Send GET /products/?page=&amp;page_size= with the input. 3. Compare the HTTP status and database state with the Expected Result.</t>
  </si>
  <si>
    <t xml:space="preserve">page_size=2 over 3 products</t>
  </si>
  <si>
    <t xml:space="preserve">page 1 has 2, page 2 has 1</t>
  </si>
  <si>
    <t xml:space="preserve">PRD-13</t>
  </si>
  <si>
    <t xml:space="preserve">page beyond last</t>
  </si>
  <si>
    <t xml:space="preserve">PRD-20</t>
  </si>
  <si>
    <t xml:space="preserve">Retrieve</t>
  </si>
  <si>
    <t xml:space="preserve">1. Create the preconditions. 2. Send GET /products/&lt;id&gt;/ with the input. 3. Compare the HTTP status and database state with the Expected Result.</t>
  </si>
  <si>
    <t xml:space="preserve">Product with inventory</t>
  </si>
  <si>
    <t xml:space="preserve">200, nested stock value present</t>
  </si>
  <si>
    <t xml:space="preserve">PRD-21</t>
  </si>
  <si>
    <t xml:space="preserve">Inactive, deleted, other-tenant, unknown id</t>
  </si>
  <si>
    <t xml:space="preserve">PRD-22</t>
  </si>
  <si>
    <t xml:space="preserve">Create</t>
  </si>
  <si>
    <t xml:space="preserve">1. Create the preconditions. 2. Send POST (products or inventory endpoint) with the input. 3. Compare the HTTP status and database state with the Expected Result.</t>
  </si>
  <si>
    <t xml:space="preserve">Valid payload</t>
  </si>
  <si>
    <t xml:space="preserve">201, tenant taken from the user</t>
  </si>
  <si>
    <t xml:space="preserve">PRD-23</t>
  </si>
  <si>
    <t xml:space="preserve">Payload sets another tenant</t>
  </si>
  <si>
    <t xml:space="preserve">ignored, product belongs to caller's tenant</t>
  </si>
  <si>
    <t xml:space="preserve">PRD-24</t>
  </si>
  <si>
    <t xml:space="preserve">Missing name / price / category / sku / tags</t>
  </si>
  <si>
    <t xml:space="preserve">400 each</t>
  </si>
  <si>
    <t xml:space="preserve">PRD-25</t>
  </si>
  <si>
    <t xml:space="preserve">SKU already used (retry of same request)</t>
  </si>
  <si>
    <t xml:space="preserve">PRD-26</t>
  </si>
  <si>
    <t xml:space="preserve">price 99999999.99 accepted, 100000000.00 rejected</t>
  </si>
  <si>
    <t xml:space="preserve">PRD-27</t>
  </si>
  <si>
    <t xml:space="preserve">price -5.00</t>
  </si>
  <si>
    <t xml:space="preserve">201 Created - negative price was accepted</t>
  </si>
  <si>
    <t xml:space="preserve">D-09</t>
  </si>
  <si>
    <t xml:space="preserve">PRD-28</t>
  </si>
  <si>
    <t xml:space="preserve">name 130 / description 400 accepted; 131 / 401 rejected</t>
  </si>
  <si>
    <t xml:space="preserve">PRD-29</t>
  </si>
  <si>
    <t xml:space="preserve">PATCH name</t>
  </si>
  <si>
    <t xml:space="preserve">200, persisted</t>
  </si>
  <si>
    <t xml:space="preserve">PRD-30</t>
  </si>
  <si>
    <t xml:space="preserve">Update/Delete</t>
  </si>
  <si>
    <t xml:space="preserve">1. Create the preconditions. 2. Send PATCH and DELETE /products/&lt;id&gt;/ with the input. 3. Compare the HTTP status and database state with the Expected Result.</t>
  </si>
  <si>
    <t xml:space="preserve">Other tenant's product</t>
  </si>
  <si>
    <t xml:space="preserve">404, data unchanged</t>
  </si>
  <si>
    <t xml:space="preserve">PRD-31</t>
  </si>
  <si>
    <t xml:space="preserve">Delete</t>
  </si>
  <si>
    <t xml:space="preserve">1. Create the preconditions. 2. Send DELETE (products, cart or inventory endpoint) with the input. 3. Compare the HTTP status and database state with the Expected Result.</t>
  </si>
  <si>
    <t xml:space="preserve">Delete product</t>
  </si>
  <si>
    <t xml:space="preserve">204, row kept with is_deleted=True, hidden from API</t>
  </si>
  <si>
    <t xml:space="preserve">PRD-32</t>
  </si>
  <si>
    <t xml:space="preserve">Same delete sent twice</t>
  </si>
  <si>
    <t xml:space="preserve">204 then 404</t>
  </si>
  <si>
    <t xml:space="preserve">PRD-33</t>
  </si>
  <si>
    <t xml:space="preserve">Permissions</t>
  </si>
  <si>
    <t xml:space="preserve">1. Create the preconditions. 2. Send the endpoint named in the scenario, without suitable permission with the input. 3. Compare the HTTP status and database state with the Expected Result.</t>
  </si>
  <si>
    <t xml:space="preserve">Regular (non-staff) user creates a product</t>
  </si>
  <si>
    <t xml:space="preserve">403</t>
  </si>
  <si>
    <t xml:space="preserve">201 Created - non-staff user created a product</t>
  </si>
  <si>
    <t xml:space="preserve">D-07</t>
  </si>
  <si>
    <t xml:space="preserve">PRD-40</t>
  </si>
  <si>
    <t xml:space="preserve">Cache</t>
  </si>
  <si>
    <t xml:space="preserve">1. Create the preconditions. 2. Send GET /products/ twice and a write call with the input. 3. Compare the HTTP status and database state with the Expected Result.</t>
  </si>
  <si>
    <t xml:space="preserve">Second identical list is served from Redis</t>
  </si>
  <si>
    <t xml:space="preserve">stale until invalidated</t>
  </si>
  <si>
    <t xml:space="preserve">PRD-41</t>
  </si>
  <si>
    <t xml:space="preserve">Creating via the API clears the tenant's cached lists</t>
  </si>
  <si>
    <t xml:space="preserve">new product visible</t>
  </si>
  <si>
    <t xml:space="preserve">PRD-42</t>
  </si>
  <si>
    <t xml:space="preserve">Deleting clears cached lists</t>
  </si>
  <si>
    <t xml:space="preserve">deleted product disappears</t>
  </si>
  <si>
    <t xml:space="preserve">PRD-43</t>
  </si>
  <si>
    <t xml:space="preserve">Tenant B lists after tenant A</t>
  </si>
  <si>
    <t xml:space="preserve">sees only its own products</t>
  </si>
  <si>
    <t xml:space="preserve">PRD-44</t>
  </si>
  <si>
    <t xml:space="preserve">Redis raises on every call</t>
  </si>
  <si>
    <t xml:space="preserve">list still 200 (fail-open)</t>
  </si>
  <si>
    <t xml:space="preserve">INV-01</t>
  </si>
  <si>
    <t xml:space="preserve">Read</t>
  </si>
  <si>
    <t xml:space="preserve">Logged-in user in tenant A; products exist; stock rows created as the scenario states</t>
  </si>
  <si>
    <t xml:space="preserve">1. Create the preconditions. 2. Send GET inventory endpoint with the input. 3. Compare the HTTP status and database state with the Expected Result.</t>
  </si>
  <si>
    <t xml:space="preserve">List and retrieve stock rows</t>
  </si>
  <si>
    <t xml:space="preserve">200, stock value returned</t>
  </si>
  <si>
    <t xml:space="preserve">INV-02</t>
  </si>
  <si>
    <t xml:space="preserve">Stock record for product without one</t>
  </si>
  <si>
    <t xml:space="preserve">201, persisted</t>
  </si>
  <si>
    <t xml:space="preserve">INV-03</t>
  </si>
  <si>
    <t xml:space="preserve">Second stock record for the same product</t>
  </si>
  <si>
    <t xml:space="preserve">serializer rejects it (400, not 500)</t>
  </si>
  <si>
    <t xml:space="preserve">TransactionManagementError - duplicate stock row reached the database; serializer did not reject it. (Test rewritten at serializer level, re-run pending)</t>
  </si>
  <si>
    <t xml:space="preserve">D-05</t>
  </si>
  <si>
    <t xml:space="preserve">INV-04</t>
  </si>
  <si>
    <t xml:space="preserve">stock = 0 accepted</t>
  </si>
  <si>
    <t xml:space="preserve">INV-05</t>
  </si>
  <si>
    <t xml:space="preserve">stock -1, "abc", 1.5, missing</t>
  </si>
  <si>
    <t xml:space="preserve">400, no row created</t>
  </si>
  <si>
    <t xml:space="preserve">INV-06</t>
  </si>
  <si>
    <t xml:space="preserve">product id does not exist</t>
  </si>
  <si>
    <t xml:space="preserve">INV-07</t>
  </si>
  <si>
    <t xml:space="preserve">PATCH stock</t>
  </si>
  <si>
    <t xml:space="preserve">200, persisted; negative value rejected</t>
  </si>
  <si>
    <t xml:space="preserve">INV-08</t>
  </si>
  <si>
    <t xml:space="preserve">Delete stock record</t>
  </si>
  <si>
    <t xml:space="preserve">204, product still exists</t>
  </si>
  <si>
    <t xml:space="preserve">INV-09</t>
  </si>
  <si>
    <t xml:space="preserve">Non-existent id</t>
  </si>
  <si>
    <t xml:space="preserve">INV-20</t>
  </si>
  <si>
    <t xml:space="preserve">No credentials on list and create</t>
  </si>
  <si>
    <t xml:space="preserve">INV-21</t>
  </si>
  <si>
    <t xml:space="preserve">Tenant isolation</t>
  </si>
  <si>
    <t xml:space="preserve">1. Create the preconditions. 2. Send inventory endpoint as a user from another tenant with the input. 3. Compare the HTTP status and database state with the Expected Result.</t>
  </si>
  <si>
    <t xml:space="preserve">Tenant B lists inventory</t>
  </si>
  <si>
    <t xml:space="preserve">does not see tenant A's rows</t>
  </si>
  <si>
    <t xml:space="preserve">Tenant B's list contained tenant A's stock row (value 111)</t>
  </si>
  <si>
    <t xml:space="preserve">D-06</t>
  </si>
  <si>
    <t xml:space="preserve">INV-22</t>
  </si>
  <si>
    <t xml:space="preserve">Tenant B patches tenant A's stock</t>
  </si>
  <si>
    <t xml:space="preserve">403/404, value unchanged</t>
  </si>
  <si>
    <t xml:space="preserve">200 OK - tenant B changed tenant A's stock</t>
  </si>
  <si>
    <t xml:space="preserve">INV-23</t>
  </si>
  <si>
    <t xml:space="preserve">Tenant B creates stock for tenant A's product</t>
  </si>
  <si>
    <t xml:space="preserve">400/403/404</t>
  </si>
  <si>
    <t xml:space="preserve">201 Created - tenant B created stock for tenant A's product</t>
  </si>
  <si>
    <t xml:space="preserve">INV-24</t>
  </si>
  <si>
    <t xml:space="preserve">Regular (non-staff) user changes stock</t>
  </si>
  <si>
    <t xml:space="preserve">200 OK - non-staff user changed stock</t>
  </si>
  <si>
    <t xml:space="preserve">ORD-01</t>
  </si>
  <si>
    <t xml:space="preserve">Checkout</t>
  </si>
  <si>
    <t xml:space="preserve">Logged-in user; cart filled as the scenario states; mock payment gateway; Redis replaced by in-memory fake; STORE_CURRENCY=usd</t>
  </si>
  <si>
    <t xml:space="preserve">1. Create the preconditions. 2. Send POST /order/checkout/ with Idempotency-Key header with the input. 3. Compare the HTTP status and database state with the Expected Result.</t>
  </si>
  <si>
    <t xml:space="preserve">Two-item cart, default payment token</t>
  </si>
  <si>
    <t xml:space="preserve">201, order PAID, payment recorded, stock reduced, cart emptied</t>
  </si>
  <si>
    <t xml:space="preserve">ORD-02</t>
  </si>
  <si>
    <t xml:space="preserve">Order items store name, price, size, color</t>
  </si>
  <si>
    <t xml:space="preserve">snapshot values saved</t>
  </si>
  <si>
    <t xml:space="preserve">ORD-03</t>
  </si>
  <si>
    <t xml:space="preserve">Product price changes after purchase</t>
  </si>
  <si>
    <t xml:space="preserve">order item keeps old price</t>
  </si>
  <si>
    <t xml:space="preserve">ORD-04</t>
  </si>
  <si>
    <t xml:space="preserve">3 x 19.99</t>
  </si>
  <si>
    <t xml:space="preserve">total exactly 59.97 (no float drift)</t>
  </si>
  <si>
    <t xml:space="preserve">ORD-05</t>
  </si>
  <si>
    <t xml:space="preserve">201, stock becomes 0</t>
  </si>
  <si>
    <t xml:space="preserve">ORD-06</t>
  </si>
  <si>
    <t xml:space="preserve">Item with size L</t>
  </si>
  <si>
    <t xml:space="preserve">size_stock[L] and total stock both reduced</t>
  </si>
  <si>
    <t xml:space="preserve">ORD-07</t>
  </si>
  <si>
    <t xml:space="preserve">User 1 checks out</t>
  </si>
  <si>
    <t xml:space="preserve">user 2's cart still intact</t>
  </si>
  <si>
    <t xml:space="preserve">ORD-10</t>
  </si>
  <si>
    <t xml:space="preserve">No Idempotency-Key header</t>
  </si>
  <si>
    <t xml:space="preserve">400, nothing created</t>
  </si>
  <si>
    <t xml:space="preserve">ORD-11</t>
  </si>
  <si>
    <t xml:space="preserve">Cart exists but has no items</t>
  </si>
  <si>
    <t xml:space="preserve">400 'cart is empty'</t>
  </si>
  <si>
    <t xml:space="preserve">ORD-12</t>
  </si>
  <si>
    <t xml:space="preserve">User never created a cart</t>
  </si>
  <si>
    <t xml:space="preserve">ORD-13</t>
  </si>
  <si>
    <t xml:space="preserve">quantity &gt; stock</t>
  </si>
  <si>
    <t xml:space="preserve">400, nothing changed</t>
  </si>
  <si>
    <t xml:space="preserve">ORD-14</t>
  </si>
  <si>
    <t xml:space="preserve">Item A ok, item B out of stock</t>
  </si>
  <si>
    <t xml:space="preserve">whole checkout rolled back, A's stock restored</t>
  </si>
  <si>
    <t xml:space="preserve">ORD-15</t>
  </si>
  <si>
    <t xml:space="preserve">Total stock fine but size L has 1 left, wants 2</t>
  </si>
  <si>
    <t xml:space="preserve">ORD-16</t>
  </si>
  <si>
    <t xml:space="preserve">404, nothing changed</t>
  </si>
  <si>
    <t xml:space="preserve">ORD-17</t>
  </si>
  <si>
    <t xml:space="preserve">Product soft-deleted/deactivated after being added</t>
  </si>
  <si>
    <t xml:space="preserve">400, cannot be bought</t>
  </si>
  <si>
    <t xml:space="preserve">201 Created - checkout accepted a soft-deleted product</t>
  </si>
  <si>
    <t xml:space="preserve">D-08</t>
  </si>
  <si>
    <t xml:space="preserve">ORD-20</t>
  </si>
  <si>
    <t xml:space="preserve">Payment</t>
  </si>
  <si>
    <t xml:space="preserve">1. Create the preconditions. 2. Send POST /order/checkout/ with payment_token with the input. 3. Compare the HTTP status and database state with the Expected Result.</t>
  </si>
  <si>
    <t xml:space="preserve">tok_declined, tok_insufficient_funds</t>
  </si>
  <si>
    <t xml:space="preserve">402, nothing changed</t>
  </si>
  <si>
    <t xml:space="preserve">ORD-21</t>
  </si>
  <si>
    <t xml:space="preserve">tok_timeout (gateway down)</t>
  </si>
  <si>
    <t xml:space="preserve">503, nothing changed</t>
  </si>
  <si>
    <t xml:space="preserve">ORD-22</t>
  </si>
  <si>
    <t xml:space="preserve">Store currency not supported by gateway</t>
  </si>
  <si>
    <t xml:space="preserve">ORD-23</t>
  </si>
  <si>
    <t xml:space="preserve">Declined, then same Idempotency-Key retried with a good token</t>
  </si>
  <si>
    <t xml:space="preserve">201 (failed attempt left no order)</t>
  </si>
  <si>
    <t xml:space="preserve">ORD-30</t>
  </si>
  <si>
    <t xml:space="preserve">Idempotency</t>
  </si>
  <si>
    <t xml:space="preserve">1. Create the preconditions. 2. Send POST /order/checkout/ repeated with the input. 3. Compare the HTTP status and database state with the Expected Result.</t>
  </si>
  <si>
    <t xml:space="preserve">Same key sent twice</t>
  </si>
  <si>
    <t xml:space="preserve">201 then 200, same order id, one charge, stock deducted once</t>
  </si>
  <si>
    <t xml:space="preserve">ORD-31</t>
  </si>
  <si>
    <t xml:space="preserve">New key after successful checkout (cart empty)</t>
  </si>
  <si>
    <t xml:space="preserve">400, no second order</t>
  </si>
  <si>
    <t xml:space="preserve">ORD-32</t>
  </si>
  <si>
    <t xml:space="preserve">Two users use the same key</t>
  </si>
  <si>
    <t xml:space="preserve">each gets own order</t>
  </si>
  <si>
    <t xml:space="preserve">ORD-40</t>
  </si>
  <si>
    <t xml:space="preserve">Cached product lists for the tenant</t>
  </si>
  <si>
    <t xml:space="preserve">deleted after successful checkout</t>
  </si>
  <si>
    <t xml:space="preserve">ORD-41</t>
  </si>
  <si>
    <t xml:space="preserve">Redis raises during cache clearing</t>
  </si>
  <si>
    <t xml:space="preserve">checkout still 201</t>
  </si>
  <si>
    <t xml:space="preserve">ORD-42</t>
  </si>
  <si>
    <t xml:space="preserve">Checkout without credentials</t>
  </si>
  <si>
    <t xml:space="preserve">ORD-50</t>
  </si>
  <si>
    <t xml:space="preserve">History</t>
  </si>
  <si>
    <t xml:space="preserve">1. Create the preconditions. 2. Send GET /orders/ with the input. 3. Compare the HTTP status and database state with the Expected Result.</t>
  </si>
  <si>
    <t xml:space="preserve">User with no orders</t>
  </si>
  <si>
    <t xml:space="preserve">200, empty list</t>
  </si>
  <si>
    <t xml:space="preserve">ORD-51</t>
  </si>
  <si>
    <t xml:space="preserve">Two orders</t>
  </si>
  <si>
    <t xml:space="preserve">newest first, item_count, line_total, status, no image -&gt; null</t>
  </si>
  <si>
    <t xml:space="preserve">ORD-52</t>
  </si>
  <si>
    <t xml:space="preserve">User 2 has an order</t>
  </si>
  <si>
    <t xml:space="preserve">not visible to user 1</t>
  </si>
  <si>
    <t xml:space="preserve">ORD-53</t>
  </si>
  <si>
    <t xml:space="preserve">RL-01</t>
  </si>
  <si>
    <t xml:space="preserve">Rate limit</t>
  </si>
  <si>
    <t xml:space="preserve">In-memory fake Redis and a controlled clock (no Redis server needed)</t>
  </si>
  <si>
    <t xml:space="preserve">1. Create the preconditions. 2. Send call is_rate_limited(user_id) with the input. 3. Compare the HTTP status and database state with the Expected Result.</t>
  </si>
  <si>
    <t xml:space="preserve">First request</t>
  </si>
  <si>
    <t xml:space="preserve">allowed (False)</t>
  </si>
  <si>
    <t xml:space="preserve">ModuleNotFoundError: No module named 'core' - RATE_LIMIT_MODULE points to the wrong path</t>
  </si>
  <si>
    <t xml:space="preserve">RL-02</t>
  </si>
  <si>
    <t xml:space="preserve">Exactly LIMIT requests allowed, LIMIT+1 blocked</t>
  </si>
  <si>
    <t xml:space="preserve">all False, then True</t>
  </si>
  <si>
    <t xml:space="preserve">RL-03</t>
  </si>
  <si>
    <t xml:space="preserve">Rejected requests do not extend the window count</t>
  </si>
  <si>
    <t xml:space="preserve">count stays at LIMIT</t>
  </si>
  <si>
    <t xml:space="preserve">RL-04</t>
  </si>
  <si>
    <t xml:space="preserve">After WINDOW seconds old hits expire</t>
  </si>
  <si>
    <t xml:space="preserve">allowed again</t>
  </si>
  <si>
    <t xml:space="preserve">RL-05</t>
  </si>
  <si>
    <t xml:space="preserve">User 1 exhausted, user 2 unaffected</t>
  </si>
  <si>
    <t xml:space="preserve">user 2 allowed</t>
  </si>
  <si>
    <t xml:space="preserve">RL-06</t>
  </si>
  <si>
    <t xml:space="preserve">Redis raises ConnectionError</t>
  </si>
  <si>
    <t xml:space="preserve">allowed (fail-open), no exception</t>
  </si>
  <si>
    <t xml:space="preserve">RL-07</t>
  </si>
  <si>
    <t xml:space="preserve">Key is rate_limit:&lt;user_id&gt; with TTL = WINDOW</t>
  </si>
  <si>
    <t xml:space="preserve">key present, TTL set</t>
  </si>
  <si>
    <t xml:space="preserve">RL-08</t>
  </si>
  <si>
    <t xml:space="preserve">Hits older than WINDOW drop out one by one</t>
  </si>
  <si>
    <t xml:space="preserve">blocked until the oldest expires</t>
  </si>
  <si>
    <t xml:space="preserve">Title</t>
  </si>
  <si>
    <t xml:space="preserve">Severity</t>
  </si>
  <si>
    <t xml:space="preserve">Affected tests</t>
  </si>
  <si>
    <t xml:space="preserve">What happens</t>
  </si>
  <si>
    <t xml:space="preserve">Suggested fix</t>
  </si>
  <si>
    <t xml:space="preserve">Weak passwords accepted at signup</t>
  </si>
  <si>
    <t xml:space="preserve">Medium</t>
  </si>
  <si>
    <t xml:space="preserve">Password '1' creates an account; RegisterSerializer never runs Django password validators.</t>
  </si>
  <si>
    <t xml:space="preserve">Call django.contrib.auth.password_validation.validate_password in RegisterSerializer.validate_password.</t>
  </si>
  <si>
    <t xml:space="preserve">Open</t>
  </si>
  <si>
    <t xml:space="preserve">Signup depends on hard-coded Tenant id=2</t>
  </si>
  <si>
    <t xml:space="preserve">If tenant 2 is missing, signup crashes with HTTP 500.</t>
  </si>
  <si>
    <t xml:space="preserve">Look the default tenant up by name or a setting (get_or_create) and return a clean 4xx/503 if it cannot be found.</t>
  </si>
  <si>
    <t xml:space="preserve">/status/ returns 401 for expired or invalid access cookie</t>
  </si>
  <si>
    <t xml:space="preserve">AUTH-32, 33, 34, 43</t>
  </si>
  <si>
    <t xml:space="preserve">DRF authentication runs before the view, so a bad cookie gives 401 instead of {authenticated: false}. The UI cannot tell 'expired' from 'logged out' and never tries the refresh endpoint, so users appear logged out after the 15-minute access token expires.</t>
  </si>
  <si>
    <t xml:space="preserve">Add @authentication_classes([]) under @api_view on auth_status; in the Navbar call /token/refresh/ once when status is false.</t>
  </si>
  <si>
    <t xml:space="preserve">First add-to-cart does not check stock</t>
  </si>
  <si>
    <t xml:space="preserve">High</t>
  </si>
  <si>
    <t xml:space="preserve">Only repeat adds are checked (inside 'if not created'), so 6 can be added when 5 are in stock.</t>
  </si>
  <si>
    <t xml:space="preserve">Validate quantity against available_stock before get_or_create.</t>
  </si>
  <si>
    <t xml:space="preserve">Duplicate stock record for one product causes a database error</t>
  </si>
  <si>
    <t xml:space="preserve">InventoryWriteSerializer declares 'product' explicitly, which drops the one-to-one uniqueness validator, so the second insert hits IntegrityError (HTTP 500).</t>
  </si>
  <si>
    <t xml:space="preserve">Remove the explicit field or add UniqueValidator(Inventory.objects.all()).</t>
  </si>
  <si>
    <t xml:space="preserve">Inventory API is not tenant-scoped</t>
  </si>
  <si>
    <t xml:space="preserve">INV-21, 22, 23</t>
  </si>
  <si>
    <t xml:space="preserve">Any user can list, edit and create stock for other tenants' products.</t>
  </si>
  <si>
    <t xml:space="preserve">Filter get_queryset by product__tenant=request.user.tenant and restrict the product queryset in the serializer.</t>
  </si>
  <si>
    <t xml:space="preserve">No role-based access control</t>
  </si>
  <si>
    <t xml:space="preserve">INV-24, PRD-33</t>
  </si>
  <si>
    <t xml:space="preserve">Any logged-in customer can create, edit and delete products and change stock.</t>
  </si>
  <si>
    <t xml:space="preserve">Use IsAdminUser (or a custom permission) for unsafe methods on products and inventory.</t>
  </si>
  <si>
    <t xml:space="preserve">Deleted or inactive products can still be checked out</t>
  </si>
  <si>
    <t xml:space="preserve">Checkout never re-checks is_active / is_deleted of cart items.</t>
  </si>
  <si>
    <t xml:space="preserve">Reject or skip such items in checkout_order before taking stock.</t>
  </si>
  <si>
    <t xml:space="preserve">Negative prices accepted</t>
  </si>
  <si>
    <t xml:space="preserve">Product price has no minimum.</t>
  </si>
  <si>
    <t xml:space="preserve">Add MinValueValidator(0) and a database CheckConstraint price &gt;= 0.</t>
  </si>
  <si>
    <t xml:space="preserve">D-10</t>
  </si>
  <si>
    <t xml:space="preserve">Inventory list is unordered</t>
  </si>
  <si>
    <t xml:space="preserve">Low</t>
  </si>
  <si>
    <t xml:space="preserve">INV-01, INV-21 (warning)</t>
  </si>
  <si>
    <t xml:space="preserve">Pagination warns about inconsistent results.</t>
  </si>
  <si>
    <t xml:space="preserve">Add .order_by('id') in InventoryViewSet.get_queryset.</t>
  </si>
  <si>
    <t xml:space="preserve">D-11</t>
  </si>
  <si>
    <t xml:space="preserve">Cart update/remove 404 for deactivated products (suspected)</t>
  </si>
  <si>
    <t xml:space="preserve">update_cart_quantity and remove_cart_item filter on is_active/is_deleted, so a customer may be unable to remove such an item. Not yet confirmed because of the URL issue.</t>
  </si>
  <si>
    <t xml:space="preserve">Look the cart item up by cart + product without the active filter. Re-run CART-44 first.</t>
  </si>
  <si>
    <t xml:space="preserve">To confirm</t>
  </si>
  <si>
    <t xml:space="preserve">pytest run 2026-10-19 - raw summary (from test_output.txt)</t>
  </si>
  <si>
    <t xml:space="preserve">platform win32 -- Python 3.13.7, pytest-9.1.1; Django 5.2.8; pytest-django 4.12.0; settings config.settings</t>
  </si>
  <si>
    <t xml:space="preserve">(pytest counts the three failed sub-tests of CART-32 as separate failures: 149 tests in total)</t>
  </si>
  <si>
    <t xml:space="preserve">FAILED authen: test_auth07, test_auth08, test_auth32, test_auth33, test_auth34, test_auth43</t>
  </si>
  <si>
    <t xml:space="preserve">FAILED carts: test_cart08, test_cart30, test_cart31, test_cart32 (3 sub-tests), test_cart36, test_cart37, test_cart40, test_cart41, test_cart44, test_cart45, test_cart50</t>
  </si>
  <si>
    <t xml:space="preserve">FAILED inventory: test_inv03, test_inv21, test_inv22, test_inv23, test_inv24</t>
  </si>
  <si>
    <t xml:space="preserve">FAILED orders: test_ord17</t>
  </si>
  <si>
    <t xml:space="preserve">FAILED products: test_prd27, test_prd33</t>
  </si>
  <si>
    <t xml:space="preserve">FAILED rate limiter: test_rl01 ... test_rl08 (ModuleNotFoundError: No module named 'core')</t>
  </si>
  <si>
    <t xml:space="preserve">WARNING: UnorderedObjectListWarning on inventory.models.Inventory (inventory list endpoint)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</si>
</sst>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2"/>
      <name val="Arial"/>
      <family val="0"/>
      <charset val="1"/>
    </font>
    <font>
      <sz val="9"/>
      <name val="Consolas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9C5700"/>
          <bgColor rgb="FF000000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9C5700"/>
      </font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6" min="2" style="0" width="10"/>
    <col collapsed="false" customWidth="true" hidden="false" outlineLevel="0" max="7" min="7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s">
        <v>9</v>
      </c>
      <c r="B5" s="4" t="s">
        <v>10</v>
      </c>
      <c r="C5" s="4" t="n">
        <f aca="false">COUNTIF('Test Cases'!$A$2:$A$150,B5&amp;"-*")</f>
        <v>30</v>
      </c>
      <c r="D5" s="4" t="n">
        <f aca="false">COUNTIFS('Test Cases'!$A$2:$A$150,B5&amp;"-*",'Test Cases'!$H$2:$H$150,"PASS")</f>
        <v>24</v>
      </c>
      <c r="E5" s="4" t="n">
        <f aca="false">COUNTIFS('Test Cases'!$A$2:$A$150,B5&amp;"-*",'Test Cases'!$H$2:$H$150,"FAIL")</f>
        <v>6</v>
      </c>
      <c r="F5" s="4" t="n">
        <f aca="false">COUNTIFS('Test Cases'!$A$2:$A$150,B5&amp;"-*",'Test Cases'!$H$2:$H$150,"BLOCKED")</f>
        <v>0</v>
      </c>
      <c r="G5" s="5" t="n">
        <f aca="false">IF(C5=0,0,D5/C5)</f>
        <v>0.8</v>
      </c>
    </row>
    <row r="6" customFormat="false" ht="15" hidden="false" customHeight="false" outlineLevel="0" collapsed="false">
      <c r="A6" s="4" t="s">
        <v>11</v>
      </c>
      <c r="B6" s="4" t="s">
        <v>12</v>
      </c>
      <c r="C6" s="4" t="n">
        <f aca="false">COUNTIF('Test Cases'!$A$2:$A$150,B6&amp;"-*")</f>
        <v>36</v>
      </c>
      <c r="D6" s="4" t="n">
        <f aca="false">COUNTIFS('Test Cases'!$A$2:$A$150,B6&amp;"-*",'Test Cases'!$H$2:$H$150,"PASS")</f>
        <v>20</v>
      </c>
      <c r="E6" s="4" t="n">
        <f aca="false">COUNTIFS('Test Cases'!$A$2:$A$150,B6&amp;"-*",'Test Cases'!$H$2:$H$150,"FAIL")</f>
        <v>1</v>
      </c>
      <c r="F6" s="4" t="n">
        <f aca="false">COUNTIFS('Test Cases'!$A$2:$A$150,B6&amp;"-*",'Test Cases'!$H$2:$H$150,"BLOCKED")</f>
        <v>15</v>
      </c>
      <c r="G6" s="5" t="n">
        <f aca="false">IF(C6=0,0,D6/C6)</f>
        <v>0.555555555555556</v>
      </c>
    </row>
    <row r="7" customFormat="false" ht="15" hidden="false" customHeight="false" outlineLevel="0" collapsed="false">
      <c r="A7" s="4" t="s">
        <v>13</v>
      </c>
      <c r="B7" s="4" t="s">
        <v>14</v>
      </c>
      <c r="C7" s="4" t="n">
        <f aca="false">COUNTIF('Test Cases'!$A$2:$A$150,B7&amp;"-*")</f>
        <v>32</v>
      </c>
      <c r="D7" s="4" t="n">
        <f aca="false">COUNTIFS('Test Cases'!$A$2:$A$150,B7&amp;"-*",'Test Cases'!$H$2:$H$150,"PASS")</f>
        <v>30</v>
      </c>
      <c r="E7" s="4" t="n">
        <f aca="false">COUNTIFS('Test Cases'!$A$2:$A$150,B7&amp;"-*",'Test Cases'!$H$2:$H$150,"FAIL")</f>
        <v>2</v>
      </c>
      <c r="F7" s="4" t="n">
        <f aca="false">COUNTIFS('Test Cases'!$A$2:$A$150,B7&amp;"-*",'Test Cases'!$H$2:$H$150,"BLOCKED")</f>
        <v>0</v>
      </c>
      <c r="G7" s="5" t="n">
        <f aca="false">IF(C7=0,0,D7/C7)</f>
        <v>0.9375</v>
      </c>
    </row>
    <row r="8" customFormat="false" ht="15" hidden="false" customHeight="false" outlineLevel="0" collapsed="false">
      <c r="A8" s="4" t="s">
        <v>15</v>
      </c>
      <c r="B8" s="4" t="s">
        <v>16</v>
      </c>
      <c r="C8" s="4" t="n">
        <f aca="false">COUNTIF('Test Cases'!$A$2:$A$150,B8&amp;"-*")</f>
        <v>14</v>
      </c>
      <c r="D8" s="4" t="n">
        <f aca="false">COUNTIFS('Test Cases'!$A$2:$A$150,B8&amp;"-*",'Test Cases'!$H$2:$H$150,"PASS")</f>
        <v>9</v>
      </c>
      <c r="E8" s="4" t="n">
        <f aca="false">COUNTIFS('Test Cases'!$A$2:$A$150,B8&amp;"-*",'Test Cases'!$H$2:$H$150,"FAIL")</f>
        <v>5</v>
      </c>
      <c r="F8" s="4" t="n">
        <f aca="false">COUNTIFS('Test Cases'!$A$2:$A$150,B8&amp;"-*",'Test Cases'!$H$2:$H$150,"BLOCKED")</f>
        <v>0</v>
      </c>
      <c r="G8" s="5" t="n">
        <f aca="false">IF(C8=0,0,D8/C8)</f>
        <v>0.642857142857143</v>
      </c>
    </row>
    <row r="9" customFormat="false" ht="15" hidden="false" customHeight="false" outlineLevel="0" collapsed="false">
      <c r="A9" s="4" t="s">
        <v>17</v>
      </c>
      <c r="B9" s="4" t="s">
        <v>18</v>
      </c>
      <c r="C9" s="4" t="n">
        <f aca="false">COUNTIF('Test Cases'!$A$2:$A$150,B9&amp;"-*")</f>
        <v>29</v>
      </c>
      <c r="D9" s="4" t="n">
        <f aca="false">COUNTIFS('Test Cases'!$A$2:$A$150,B9&amp;"-*",'Test Cases'!$H$2:$H$150,"PASS")</f>
        <v>28</v>
      </c>
      <c r="E9" s="4" t="n">
        <f aca="false">COUNTIFS('Test Cases'!$A$2:$A$150,B9&amp;"-*",'Test Cases'!$H$2:$H$150,"FAIL")</f>
        <v>1</v>
      </c>
      <c r="F9" s="4" t="n">
        <f aca="false">COUNTIFS('Test Cases'!$A$2:$A$150,B9&amp;"-*",'Test Cases'!$H$2:$H$150,"BLOCKED")</f>
        <v>0</v>
      </c>
      <c r="G9" s="5" t="n">
        <f aca="false">IF(C9=0,0,D9/C9)</f>
        <v>0.96551724137931</v>
      </c>
    </row>
    <row r="10" customFormat="false" ht="15" hidden="false" customHeight="false" outlineLevel="0" collapsed="false">
      <c r="A10" s="4" t="s">
        <v>19</v>
      </c>
      <c r="B10" s="4" t="s">
        <v>20</v>
      </c>
      <c r="C10" s="4" t="n">
        <f aca="false">COUNTIF('Test Cases'!$A$2:$A$150,B10&amp;"-*")</f>
        <v>8</v>
      </c>
      <c r="D10" s="4" t="n">
        <f aca="false">COUNTIFS('Test Cases'!$A$2:$A$150,B10&amp;"-*",'Test Cases'!$H$2:$H$150,"PASS")</f>
        <v>0</v>
      </c>
      <c r="E10" s="4" t="n">
        <f aca="false">COUNTIFS('Test Cases'!$A$2:$A$150,B10&amp;"-*",'Test Cases'!$H$2:$H$150,"FAIL")</f>
        <v>0</v>
      </c>
      <c r="F10" s="4" t="n">
        <f aca="false">COUNTIFS('Test Cases'!$A$2:$A$150,B10&amp;"-*",'Test Cases'!$H$2:$H$150,"BLOCKED")</f>
        <v>8</v>
      </c>
      <c r="G10" s="5" t="n">
        <f aca="false">IF(C10=0,0,D10/C10)</f>
        <v>0</v>
      </c>
    </row>
    <row r="11" customFormat="false" ht="15" hidden="false" customHeight="false" outlineLevel="0" collapsed="false">
      <c r="A11" s="6" t="s">
        <v>21</v>
      </c>
      <c r="B11" s="7"/>
      <c r="C11" s="6" t="n">
        <f aca="false">SUM(C5:C10)</f>
        <v>149</v>
      </c>
      <c r="D11" s="6" t="n">
        <f aca="false">SUM(D5:D10)</f>
        <v>111</v>
      </c>
      <c r="E11" s="6" t="n">
        <f aca="false">SUM(E5:E10)</f>
        <v>15</v>
      </c>
      <c r="F11" s="6" t="n">
        <f aca="false">SUM(F5:F10)</f>
        <v>23</v>
      </c>
      <c r="G11" s="8" t="n">
        <f aca="false">IF(C11=0,0,D11/C11)</f>
        <v>0.74496644295302</v>
      </c>
    </row>
    <row r="13" customFormat="false" ht="15" hidden="false" customHeight="false" outlineLevel="0" collapsed="false">
      <c r="A13" s="9" t="s">
        <v>22</v>
      </c>
    </row>
    <row r="14" customFormat="false" ht="15" hidden="false" customHeight="false" outlineLevel="0" collapsed="false">
      <c r="A14" s="10" t="s">
        <v>23</v>
      </c>
    </row>
    <row r="15" customFormat="false" ht="15" hidden="false" customHeight="false" outlineLevel="0" collapsed="false">
      <c r="A15" s="10" t="s">
        <v>24</v>
      </c>
    </row>
    <row r="16" customFormat="false" ht="15" hidden="false" customHeight="false" outlineLevel="0" collapsed="false">
      <c r="A16" s="10" t="s">
        <v>25</v>
      </c>
    </row>
    <row r="17" customFormat="false" ht="15" hidden="false" customHeight="false" outlineLevel="0" collapsed="false">
      <c r="A17" s="10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38"/>
    <col collapsed="false" customWidth="true" hidden="false" outlineLevel="0" max="4" min="4" style="0" width="44"/>
    <col collapsed="false" customWidth="true" hidden="false" outlineLevel="0" max="5" min="5" style="0" width="38"/>
    <col collapsed="false" customWidth="true" hidden="false" outlineLevel="0" max="6" min="6" style="0" width="34"/>
    <col collapsed="false" customWidth="true" hidden="false" outlineLevel="0" max="7" min="7" style="0" width="44"/>
    <col collapsed="false" customWidth="true" hidden="false" outlineLevel="0" max="9" min="8" style="0" width="10"/>
    <col collapsed="false" customWidth="true" hidden="false" outlineLevel="0" max="10" min="10" style="0" width="30"/>
  </cols>
  <sheetData>
    <row r="1" customFormat="false" ht="15" hidden="false" customHeight="false" outlineLevel="0" collapsed="false">
      <c r="A1" s="11" t="s">
        <v>27</v>
      </c>
      <c r="B1" s="11" t="s">
        <v>28</v>
      </c>
      <c r="C1" s="11" t="s">
        <v>29</v>
      </c>
      <c r="D1" s="11" t="s">
        <v>30</v>
      </c>
      <c r="E1" s="11" t="s">
        <v>31</v>
      </c>
      <c r="F1" s="11" t="s">
        <v>32</v>
      </c>
      <c r="G1" s="11" t="s">
        <v>33</v>
      </c>
      <c r="H1" s="11" t="s">
        <v>34</v>
      </c>
      <c r="I1" s="11" t="s">
        <v>35</v>
      </c>
      <c r="J1" s="11" t="s">
        <v>36</v>
      </c>
    </row>
    <row r="2" customFormat="false" ht="32.8" hidden="false" customHeight="false" outlineLevel="0" collapsed="false">
      <c r="A2" s="12" t="s">
        <v>37</v>
      </c>
      <c r="B2" s="12" t="s">
        <v>38</v>
      </c>
      <c r="C2" s="12" t="s">
        <v>39</v>
      </c>
      <c r="D2" s="12" t="s">
        <v>40</v>
      </c>
      <c r="E2" s="12" t="s">
        <v>41</v>
      </c>
      <c r="F2" s="12" t="s">
        <v>42</v>
      </c>
      <c r="G2" s="12" t="s">
        <v>43</v>
      </c>
      <c r="H2" s="12" t="s">
        <v>44</v>
      </c>
      <c r="I2" s="12"/>
      <c r="J2" s="12" t="s">
        <v>45</v>
      </c>
    </row>
    <row r="3" customFormat="false" ht="32.8" hidden="false" customHeight="false" outlineLevel="0" collapsed="false">
      <c r="A3" s="12" t="s">
        <v>46</v>
      </c>
      <c r="B3" s="12" t="s">
        <v>38</v>
      </c>
      <c r="C3" s="12" t="s">
        <v>39</v>
      </c>
      <c r="D3" s="12" t="s">
        <v>40</v>
      </c>
      <c r="E3" s="12" t="s">
        <v>47</v>
      </c>
      <c r="F3" s="12" t="s">
        <v>48</v>
      </c>
      <c r="G3" s="12" t="s">
        <v>43</v>
      </c>
      <c r="H3" s="12" t="s">
        <v>44</v>
      </c>
      <c r="I3" s="12"/>
      <c r="J3" s="12" t="s">
        <v>45</v>
      </c>
    </row>
    <row r="4" customFormat="false" ht="32.8" hidden="false" customHeight="false" outlineLevel="0" collapsed="false">
      <c r="A4" s="12" t="s">
        <v>49</v>
      </c>
      <c r="B4" s="12" t="s">
        <v>38</v>
      </c>
      <c r="C4" s="12" t="s">
        <v>39</v>
      </c>
      <c r="D4" s="12" t="s">
        <v>40</v>
      </c>
      <c r="E4" s="12" t="s">
        <v>50</v>
      </c>
      <c r="F4" s="12" t="s">
        <v>51</v>
      </c>
      <c r="G4" s="12" t="s">
        <v>43</v>
      </c>
      <c r="H4" s="12" t="s">
        <v>44</v>
      </c>
      <c r="I4" s="12"/>
      <c r="J4" s="12" t="s">
        <v>45</v>
      </c>
    </row>
    <row r="5" customFormat="false" ht="32.8" hidden="false" customHeight="false" outlineLevel="0" collapsed="false">
      <c r="A5" s="12" t="s">
        <v>52</v>
      </c>
      <c r="B5" s="12" t="s">
        <v>38</v>
      </c>
      <c r="C5" s="12" t="s">
        <v>39</v>
      </c>
      <c r="D5" s="12" t="s">
        <v>40</v>
      </c>
      <c r="E5" s="12" t="s">
        <v>53</v>
      </c>
      <c r="F5" s="12" t="s">
        <v>54</v>
      </c>
      <c r="G5" s="12" t="s">
        <v>43</v>
      </c>
      <c r="H5" s="12" t="s">
        <v>44</v>
      </c>
      <c r="I5" s="12"/>
      <c r="J5" s="12" t="s">
        <v>45</v>
      </c>
    </row>
    <row r="6" customFormat="false" ht="32.8" hidden="false" customHeight="false" outlineLevel="0" collapsed="false">
      <c r="A6" s="12" t="s">
        <v>55</v>
      </c>
      <c r="B6" s="12" t="s">
        <v>38</v>
      </c>
      <c r="C6" s="12" t="s">
        <v>39</v>
      </c>
      <c r="D6" s="12" t="s">
        <v>40</v>
      </c>
      <c r="E6" s="12" t="s">
        <v>56</v>
      </c>
      <c r="F6" s="12" t="s">
        <v>54</v>
      </c>
      <c r="G6" s="12" t="s">
        <v>43</v>
      </c>
      <c r="H6" s="12" t="s">
        <v>44</v>
      </c>
      <c r="I6" s="12"/>
      <c r="J6" s="12" t="s">
        <v>45</v>
      </c>
    </row>
    <row r="7" customFormat="false" ht="32.8" hidden="false" customHeight="false" outlineLevel="0" collapsed="false">
      <c r="A7" s="12" t="s">
        <v>57</v>
      </c>
      <c r="B7" s="12" t="s">
        <v>38</v>
      </c>
      <c r="C7" s="12" t="s">
        <v>39</v>
      </c>
      <c r="D7" s="12" t="s">
        <v>40</v>
      </c>
      <c r="E7" s="12" t="s">
        <v>58</v>
      </c>
      <c r="F7" s="12" t="s">
        <v>59</v>
      </c>
      <c r="G7" s="12" t="s">
        <v>43</v>
      </c>
      <c r="H7" s="12" t="s">
        <v>44</v>
      </c>
      <c r="I7" s="12"/>
      <c r="J7" s="12" t="s">
        <v>45</v>
      </c>
    </row>
    <row r="8" customFormat="false" ht="32.8" hidden="false" customHeight="false" outlineLevel="0" collapsed="false">
      <c r="A8" s="12" t="s">
        <v>60</v>
      </c>
      <c r="B8" s="12" t="s">
        <v>38</v>
      </c>
      <c r="C8" s="12" t="s">
        <v>39</v>
      </c>
      <c r="D8" s="12" t="s">
        <v>40</v>
      </c>
      <c r="E8" s="12" t="s">
        <v>61</v>
      </c>
      <c r="F8" s="12" t="s">
        <v>62</v>
      </c>
      <c r="G8" s="12" t="s">
        <v>63</v>
      </c>
      <c r="H8" s="12" t="s">
        <v>64</v>
      </c>
      <c r="I8" s="12" t="s">
        <v>65</v>
      </c>
      <c r="J8" s="12" t="s">
        <v>45</v>
      </c>
    </row>
    <row r="9" customFormat="false" ht="32.8" hidden="false" customHeight="false" outlineLevel="0" collapsed="false">
      <c r="A9" s="12" t="s">
        <v>66</v>
      </c>
      <c r="B9" s="12" t="s">
        <v>38</v>
      </c>
      <c r="C9" s="12" t="s">
        <v>39</v>
      </c>
      <c r="D9" s="12" t="s">
        <v>40</v>
      </c>
      <c r="E9" s="12" t="s">
        <v>67</v>
      </c>
      <c r="F9" s="12" t="s">
        <v>68</v>
      </c>
      <c r="G9" s="12" t="s">
        <v>69</v>
      </c>
      <c r="H9" s="12" t="s">
        <v>64</v>
      </c>
      <c r="I9" s="12" t="s">
        <v>70</v>
      </c>
      <c r="J9" s="12" t="s">
        <v>45</v>
      </c>
    </row>
    <row r="10" customFormat="false" ht="32.8" hidden="false" customHeight="false" outlineLevel="0" collapsed="false">
      <c r="A10" s="12" t="s">
        <v>71</v>
      </c>
      <c r="B10" s="12" t="s">
        <v>38</v>
      </c>
      <c r="C10" s="12" t="s">
        <v>39</v>
      </c>
      <c r="D10" s="12" t="s">
        <v>40</v>
      </c>
      <c r="E10" s="12" t="s">
        <v>72</v>
      </c>
      <c r="F10" s="12" t="s">
        <v>73</v>
      </c>
      <c r="G10" s="12" t="s">
        <v>43</v>
      </c>
      <c r="H10" s="12" t="s">
        <v>44</v>
      </c>
      <c r="I10" s="12"/>
      <c r="J10" s="12" t="s">
        <v>45</v>
      </c>
    </row>
    <row r="11" customFormat="false" ht="32.8" hidden="false" customHeight="false" outlineLevel="0" collapsed="false">
      <c r="A11" s="12" t="s">
        <v>74</v>
      </c>
      <c r="B11" s="12" t="s">
        <v>75</v>
      </c>
      <c r="C11" s="12" t="s">
        <v>39</v>
      </c>
      <c r="D11" s="12" t="s">
        <v>76</v>
      </c>
      <c r="E11" s="12" t="s">
        <v>77</v>
      </c>
      <c r="F11" s="12" t="s">
        <v>78</v>
      </c>
      <c r="G11" s="12" t="s">
        <v>43</v>
      </c>
      <c r="H11" s="12" t="s">
        <v>44</v>
      </c>
      <c r="I11" s="12"/>
      <c r="J11" s="12" t="s">
        <v>45</v>
      </c>
    </row>
    <row r="12" customFormat="false" ht="32.8" hidden="false" customHeight="false" outlineLevel="0" collapsed="false">
      <c r="A12" s="12" t="s">
        <v>79</v>
      </c>
      <c r="B12" s="12" t="s">
        <v>75</v>
      </c>
      <c r="C12" s="12" t="s">
        <v>39</v>
      </c>
      <c r="D12" s="12" t="s">
        <v>76</v>
      </c>
      <c r="E12" s="12" t="s">
        <v>80</v>
      </c>
      <c r="F12" s="12" t="s">
        <v>81</v>
      </c>
      <c r="G12" s="12" t="s">
        <v>43</v>
      </c>
      <c r="H12" s="12" t="s">
        <v>44</v>
      </c>
      <c r="I12" s="12"/>
      <c r="J12" s="12" t="s">
        <v>45</v>
      </c>
    </row>
    <row r="13" customFormat="false" ht="32.8" hidden="false" customHeight="false" outlineLevel="0" collapsed="false">
      <c r="A13" s="12" t="s">
        <v>82</v>
      </c>
      <c r="B13" s="12" t="s">
        <v>75</v>
      </c>
      <c r="C13" s="12" t="s">
        <v>39</v>
      </c>
      <c r="D13" s="12" t="s">
        <v>76</v>
      </c>
      <c r="E13" s="12" t="s">
        <v>83</v>
      </c>
      <c r="F13" s="12" t="s">
        <v>84</v>
      </c>
      <c r="G13" s="12" t="s">
        <v>43</v>
      </c>
      <c r="H13" s="12" t="s">
        <v>44</v>
      </c>
      <c r="I13" s="12"/>
      <c r="J13" s="12" t="s">
        <v>45</v>
      </c>
    </row>
    <row r="14" customFormat="false" ht="32.8" hidden="false" customHeight="false" outlineLevel="0" collapsed="false">
      <c r="A14" s="12" t="s">
        <v>85</v>
      </c>
      <c r="B14" s="12" t="s">
        <v>75</v>
      </c>
      <c r="C14" s="12" t="s">
        <v>39</v>
      </c>
      <c r="D14" s="12" t="s">
        <v>76</v>
      </c>
      <c r="E14" s="12" t="s">
        <v>86</v>
      </c>
      <c r="F14" s="12" t="s">
        <v>87</v>
      </c>
      <c r="G14" s="12" t="s">
        <v>43</v>
      </c>
      <c r="H14" s="12" t="s">
        <v>44</v>
      </c>
      <c r="I14" s="12"/>
      <c r="J14" s="12" t="s">
        <v>45</v>
      </c>
    </row>
    <row r="15" customFormat="false" ht="32.8" hidden="false" customHeight="false" outlineLevel="0" collapsed="false">
      <c r="A15" s="12" t="s">
        <v>88</v>
      </c>
      <c r="B15" s="12" t="s">
        <v>75</v>
      </c>
      <c r="C15" s="12" t="s">
        <v>39</v>
      </c>
      <c r="D15" s="12" t="s">
        <v>76</v>
      </c>
      <c r="E15" s="12" t="s">
        <v>47</v>
      </c>
      <c r="F15" s="12" t="s">
        <v>54</v>
      </c>
      <c r="G15" s="12" t="s">
        <v>43</v>
      </c>
      <c r="H15" s="12" t="s">
        <v>44</v>
      </c>
      <c r="I15" s="12"/>
      <c r="J15" s="12" t="s">
        <v>45</v>
      </c>
    </row>
    <row r="16" customFormat="false" ht="32.8" hidden="false" customHeight="false" outlineLevel="0" collapsed="false">
      <c r="A16" s="12" t="s">
        <v>89</v>
      </c>
      <c r="B16" s="12" t="s">
        <v>75</v>
      </c>
      <c r="C16" s="12" t="s">
        <v>39</v>
      </c>
      <c r="D16" s="12" t="s">
        <v>76</v>
      </c>
      <c r="E16" s="12" t="s">
        <v>90</v>
      </c>
      <c r="F16" s="12" t="s">
        <v>84</v>
      </c>
      <c r="G16" s="12" t="s">
        <v>43</v>
      </c>
      <c r="H16" s="12" t="s">
        <v>44</v>
      </c>
      <c r="I16" s="12"/>
      <c r="J16" s="12" t="s">
        <v>45</v>
      </c>
    </row>
    <row r="17" customFormat="false" ht="32.8" hidden="false" customHeight="false" outlineLevel="0" collapsed="false">
      <c r="A17" s="12" t="s">
        <v>91</v>
      </c>
      <c r="B17" s="12" t="s">
        <v>75</v>
      </c>
      <c r="C17" s="12" t="s">
        <v>39</v>
      </c>
      <c r="D17" s="12" t="s">
        <v>76</v>
      </c>
      <c r="E17" s="12" t="s">
        <v>92</v>
      </c>
      <c r="F17" s="12" t="s">
        <v>73</v>
      </c>
      <c r="G17" s="12" t="s">
        <v>43</v>
      </c>
      <c r="H17" s="12" t="s">
        <v>44</v>
      </c>
      <c r="I17" s="12"/>
      <c r="J17" s="12" t="s">
        <v>45</v>
      </c>
    </row>
    <row r="18" customFormat="false" ht="32.8" hidden="false" customHeight="false" outlineLevel="0" collapsed="false">
      <c r="A18" s="12" t="s">
        <v>93</v>
      </c>
      <c r="B18" s="12" t="s">
        <v>94</v>
      </c>
      <c r="C18" s="12" t="s">
        <v>39</v>
      </c>
      <c r="D18" s="12" t="s">
        <v>95</v>
      </c>
      <c r="E18" s="12" t="s">
        <v>96</v>
      </c>
      <c r="F18" s="12" t="s">
        <v>97</v>
      </c>
      <c r="G18" s="12" t="s">
        <v>43</v>
      </c>
      <c r="H18" s="12" t="s">
        <v>44</v>
      </c>
      <c r="I18" s="12"/>
      <c r="J18" s="12" t="s">
        <v>45</v>
      </c>
    </row>
    <row r="19" customFormat="false" ht="32.8" hidden="false" customHeight="false" outlineLevel="0" collapsed="false">
      <c r="A19" s="12" t="s">
        <v>98</v>
      </c>
      <c r="B19" s="12" t="s">
        <v>94</v>
      </c>
      <c r="C19" s="12" t="s">
        <v>39</v>
      </c>
      <c r="D19" s="12" t="s">
        <v>95</v>
      </c>
      <c r="E19" s="12" t="s">
        <v>99</v>
      </c>
      <c r="F19" s="12" t="s">
        <v>100</v>
      </c>
      <c r="G19" s="12" t="s">
        <v>43</v>
      </c>
      <c r="H19" s="12" t="s">
        <v>44</v>
      </c>
      <c r="I19" s="12"/>
      <c r="J19" s="12" t="s">
        <v>45</v>
      </c>
    </row>
    <row r="20" customFormat="false" ht="32.8" hidden="false" customHeight="false" outlineLevel="0" collapsed="false">
      <c r="A20" s="12" t="s">
        <v>101</v>
      </c>
      <c r="B20" s="12" t="s">
        <v>94</v>
      </c>
      <c r="C20" s="12" t="s">
        <v>39</v>
      </c>
      <c r="D20" s="12" t="s">
        <v>95</v>
      </c>
      <c r="E20" s="12" t="s">
        <v>102</v>
      </c>
      <c r="F20" s="12" t="s">
        <v>103</v>
      </c>
      <c r="G20" s="12" t="s">
        <v>43</v>
      </c>
      <c r="H20" s="12" t="s">
        <v>44</v>
      </c>
      <c r="I20" s="12"/>
      <c r="J20" s="12" t="s">
        <v>45</v>
      </c>
    </row>
    <row r="21" customFormat="false" ht="32.8" hidden="false" customHeight="false" outlineLevel="0" collapsed="false">
      <c r="A21" s="12" t="s">
        <v>104</v>
      </c>
      <c r="B21" s="12" t="s">
        <v>94</v>
      </c>
      <c r="C21" s="12" t="s">
        <v>39</v>
      </c>
      <c r="D21" s="12" t="s">
        <v>95</v>
      </c>
      <c r="E21" s="12" t="s">
        <v>105</v>
      </c>
      <c r="F21" s="12" t="s">
        <v>106</v>
      </c>
      <c r="G21" s="12" t="s">
        <v>43</v>
      </c>
      <c r="H21" s="12" t="s">
        <v>44</v>
      </c>
      <c r="I21" s="12"/>
      <c r="J21" s="12" t="s">
        <v>45</v>
      </c>
    </row>
    <row r="22" customFormat="false" ht="32.8" hidden="false" customHeight="false" outlineLevel="0" collapsed="false">
      <c r="A22" s="12" t="s">
        <v>107</v>
      </c>
      <c r="B22" s="12" t="s">
        <v>94</v>
      </c>
      <c r="C22" s="12" t="s">
        <v>39</v>
      </c>
      <c r="D22" s="12" t="s">
        <v>95</v>
      </c>
      <c r="E22" s="12" t="s">
        <v>108</v>
      </c>
      <c r="F22" s="12" t="s">
        <v>87</v>
      </c>
      <c r="G22" s="12" t="s">
        <v>43</v>
      </c>
      <c r="H22" s="12" t="s">
        <v>44</v>
      </c>
      <c r="I22" s="12"/>
      <c r="J22" s="12" t="s">
        <v>45</v>
      </c>
    </row>
    <row r="23" customFormat="false" ht="32.8" hidden="false" customHeight="false" outlineLevel="0" collapsed="false">
      <c r="A23" s="12" t="s">
        <v>109</v>
      </c>
      <c r="B23" s="12" t="s">
        <v>34</v>
      </c>
      <c r="C23" s="12" t="s">
        <v>39</v>
      </c>
      <c r="D23" s="12" t="s">
        <v>110</v>
      </c>
      <c r="E23" s="12" t="s">
        <v>111</v>
      </c>
      <c r="F23" s="12" t="s">
        <v>112</v>
      </c>
      <c r="G23" s="12" t="s">
        <v>43</v>
      </c>
      <c r="H23" s="12" t="s">
        <v>44</v>
      </c>
      <c r="I23" s="12"/>
      <c r="J23" s="12" t="s">
        <v>45</v>
      </c>
    </row>
    <row r="24" customFormat="false" ht="32.8" hidden="false" customHeight="false" outlineLevel="0" collapsed="false">
      <c r="A24" s="12" t="s">
        <v>113</v>
      </c>
      <c r="B24" s="12" t="s">
        <v>34</v>
      </c>
      <c r="C24" s="12" t="s">
        <v>39</v>
      </c>
      <c r="D24" s="12" t="s">
        <v>110</v>
      </c>
      <c r="E24" s="12" t="s">
        <v>114</v>
      </c>
      <c r="F24" s="12" t="s">
        <v>115</v>
      </c>
      <c r="G24" s="12" t="s">
        <v>43</v>
      </c>
      <c r="H24" s="12" t="s">
        <v>44</v>
      </c>
      <c r="I24" s="12"/>
      <c r="J24" s="12" t="s">
        <v>45</v>
      </c>
    </row>
    <row r="25" customFormat="false" ht="32.8" hidden="false" customHeight="false" outlineLevel="0" collapsed="false">
      <c r="A25" s="12" t="s">
        <v>116</v>
      </c>
      <c r="B25" s="12" t="s">
        <v>34</v>
      </c>
      <c r="C25" s="12" t="s">
        <v>39</v>
      </c>
      <c r="D25" s="12" t="s">
        <v>110</v>
      </c>
      <c r="E25" s="12" t="s">
        <v>117</v>
      </c>
      <c r="F25" s="12" t="s">
        <v>112</v>
      </c>
      <c r="G25" s="12" t="s">
        <v>118</v>
      </c>
      <c r="H25" s="12" t="s">
        <v>64</v>
      </c>
      <c r="I25" s="12" t="s">
        <v>119</v>
      </c>
      <c r="J25" s="12" t="s">
        <v>45</v>
      </c>
    </row>
    <row r="26" customFormat="false" ht="32.8" hidden="false" customHeight="false" outlineLevel="0" collapsed="false">
      <c r="A26" s="12" t="s">
        <v>120</v>
      </c>
      <c r="B26" s="12" t="s">
        <v>34</v>
      </c>
      <c r="C26" s="12" t="s">
        <v>39</v>
      </c>
      <c r="D26" s="12" t="s">
        <v>110</v>
      </c>
      <c r="E26" s="12" t="s">
        <v>121</v>
      </c>
      <c r="F26" s="12" t="s">
        <v>112</v>
      </c>
      <c r="G26" s="12" t="s">
        <v>122</v>
      </c>
      <c r="H26" s="12" t="s">
        <v>64</v>
      </c>
      <c r="I26" s="12" t="s">
        <v>119</v>
      </c>
      <c r="J26" s="12" t="s">
        <v>45</v>
      </c>
    </row>
    <row r="27" customFormat="false" ht="32.8" hidden="false" customHeight="false" outlineLevel="0" collapsed="false">
      <c r="A27" s="12" t="s">
        <v>123</v>
      </c>
      <c r="B27" s="12" t="s">
        <v>34</v>
      </c>
      <c r="C27" s="12" t="s">
        <v>39</v>
      </c>
      <c r="D27" s="12" t="s">
        <v>110</v>
      </c>
      <c r="E27" s="12" t="s">
        <v>124</v>
      </c>
      <c r="F27" s="12" t="s">
        <v>125</v>
      </c>
      <c r="G27" s="12" t="s">
        <v>122</v>
      </c>
      <c r="H27" s="12" t="s">
        <v>64</v>
      </c>
      <c r="I27" s="12" t="s">
        <v>119</v>
      </c>
      <c r="J27" s="12" t="s">
        <v>45</v>
      </c>
    </row>
    <row r="28" customFormat="false" ht="32.8" hidden="false" customHeight="false" outlineLevel="0" collapsed="false">
      <c r="A28" s="12" t="s">
        <v>126</v>
      </c>
      <c r="B28" s="12" t="s">
        <v>127</v>
      </c>
      <c r="C28" s="12" t="s">
        <v>39</v>
      </c>
      <c r="D28" s="12" t="s">
        <v>128</v>
      </c>
      <c r="E28" s="12" t="s">
        <v>129</v>
      </c>
      <c r="F28" s="12" t="s">
        <v>130</v>
      </c>
      <c r="G28" s="12" t="s">
        <v>43</v>
      </c>
      <c r="H28" s="12" t="s">
        <v>44</v>
      </c>
      <c r="I28" s="12"/>
      <c r="J28" s="12" t="s">
        <v>45</v>
      </c>
    </row>
    <row r="29" customFormat="false" ht="32.8" hidden="false" customHeight="false" outlineLevel="0" collapsed="false">
      <c r="A29" s="12" t="s">
        <v>131</v>
      </c>
      <c r="B29" s="12" t="s">
        <v>127</v>
      </c>
      <c r="C29" s="12" t="s">
        <v>39</v>
      </c>
      <c r="D29" s="12" t="s">
        <v>128</v>
      </c>
      <c r="E29" s="12" t="s">
        <v>132</v>
      </c>
      <c r="F29" s="12" t="s">
        <v>73</v>
      </c>
      <c r="G29" s="12" t="s">
        <v>43</v>
      </c>
      <c r="H29" s="12" t="s">
        <v>44</v>
      </c>
      <c r="I29" s="12"/>
      <c r="J29" s="12" t="s">
        <v>45</v>
      </c>
    </row>
    <row r="30" customFormat="false" ht="43.25" hidden="false" customHeight="false" outlineLevel="0" collapsed="false">
      <c r="A30" s="12" t="s">
        <v>133</v>
      </c>
      <c r="B30" s="12" t="s">
        <v>134</v>
      </c>
      <c r="C30" s="12" t="s">
        <v>39</v>
      </c>
      <c r="D30" s="12" t="s">
        <v>135</v>
      </c>
      <c r="E30" s="12" t="s">
        <v>136</v>
      </c>
      <c r="F30" s="12"/>
      <c r="G30" s="12" t="s">
        <v>43</v>
      </c>
      <c r="H30" s="12" t="s">
        <v>44</v>
      </c>
      <c r="I30" s="12"/>
      <c r="J30" s="12" t="s">
        <v>45</v>
      </c>
    </row>
    <row r="31" customFormat="false" ht="43.25" hidden="false" customHeight="false" outlineLevel="0" collapsed="false">
      <c r="A31" s="12" t="s">
        <v>137</v>
      </c>
      <c r="B31" s="12" t="s">
        <v>134</v>
      </c>
      <c r="C31" s="12" t="s">
        <v>39</v>
      </c>
      <c r="D31" s="12" t="s">
        <v>135</v>
      </c>
      <c r="E31" s="12" t="s">
        <v>138</v>
      </c>
      <c r="F31" s="12"/>
      <c r="G31" s="12" t="s">
        <v>122</v>
      </c>
      <c r="H31" s="12" t="s">
        <v>64</v>
      </c>
      <c r="I31" s="12" t="s">
        <v>119</v>
      </c>
      <c r="J31" s="12" t="s">
        <v>45</v>
      </c>
    </row>
    <row r="32" customFormat="false" ht="32.8" hidden="false" customHeight="false" outlineLevel="0" collapsed="false">
      <c r="A32" s="12" t="s">
        <v>139</v>
      </c>
      <c r="B32" s="12" t="s">
        <v>140</v>
      </c>
      <c r="C32" s="12" t="s">
        <v>141</v>
      </c>
      <c r="D32" s="12" t="s">
        <v>142</v>
      </c>
      <c r="E32" s="12" t="s">
        <v>143</v>
      </c>
      <c r="F32" s="12" t="s">
        <v>144</v>
      </c>
      <c r="G32" s="12" t="s">
        <v>43</v>
      </c>
      <c r="H32" s="12" t="s">
        <v>44</v>
      </c>
      <c r="I32" s="12"/>
      <c r="J32" s="12" t="s">
        <v>45</v>
      </c>
    </row>
    <row r="33" customFormat="false" ht="32.8" hidden="false" customHeight="false" outlineLevel="0" collapsed="false">
      <c r="A33" s="12" t="s">
        <v>145</v>
      </c>
      <c r="B33" s="12" t="s">
        <v>140</v>
      </c>
      <c r="C33" s="12" t="s">
        <v>141</v>
      </c>
      <c r="D33" s="12" t="s">
        <v>142</v>
      </c>
      <c r="E33" s="12" t="s">
        <v>146</v>
      </c>
      <c r="F33" s="12" t="s">
        <v>147</v>
      </c>
      <c r="G33" s="12" t="s">
        <v>43</v>
      </c>
      <c r="H33" s="12" t="s">
        <v>44</v>
      </c>
      <c r="I33" s="12"/>
      <c r="J33" s="12" t="s">
        <v>45</v>
      </c>
    </row>
    <row r="34" customFormat="false" ht="32.8" hidden="false" customHeight="false" outlineLevel="0" collapsed="false">
      <c r="A34" s="12" t="s">
        <v>148</v>
      </c>
      <c r="B34" s="12" t="s">
        <v>140</v>
      </c>
      <c r="C34" s="12" t="s">
        <v>141</v>
      </c>
      <c r="D34" s="12" t="s">
        <v>142</v>
      </c>
      <c r="E34" s="12" t="s">
        <v>149</v>
      </c>
      <c r="F34" s="12" t="s">
        <v>150</v>
      </c>
      <c r="G34" s="12" t="s">
        <v>43</v>
      </c>
      <c r="H34" s="12" t="s">
        <v>44</v>
      </c>
      <c r="I34" s="12"/>
      <c r="J34" s="12" t="s">
        <v>45</v>
      </c>
    </row>
    <row r="35" customFormat="false" ht="32.8" hidden="false" customHeight="false" outlineLevel="0" collapsed="false">
      <c r="A35" s="12" t="s">
        <v>151</v>
      </c>
      <c r="B35" s="12" t="s">
        <v>140</v>
      </c>
      <c r="C35" s="12" t="s">
        <v>141</v>
      </c>
      <c r="D35" s="12" t="s">
        <v>142</v>
      </c>
      <c r="E35" s="12" t="s">
        <v>152</v>
      </c>
      <c r="F35" s="12" t="s">
        <v>153</v>
      </c>
      <c r="G35" s="12" t="s">
        <v>43</v>
      </c>
      <c r="H35" s="12" t="s">
        <v>44</v>
      </c>
      <c r="I35" s="12"/>
      <c r="J35" s="12" t="s">
        <v>45</v>
      </c>
    </row>
    <row r="36" customFormat="false" ht="32.8" hidden="false" customHeight="false" outlineLevel="0" collapsed="false">
      <c r="A36" s="12" t="s">
        <v>154</v>
      </c>
      <c r="B36" s="12" t="s">
        <v>140</v>
      </c>
      <c r="C36" s="12" t="s">
        <v>141</v>
      </c>
      <c r="D36" s="12" t="s">
        <v>142</v>
      </c>
      <c r="E36" s="12" t="s">
        <v>155</v>
      </c>
      <c r="F36" s="12" t="s">
        <v>156</v>
      </c>
      <c r="G36" s="12" t="s">
        <v>43</v>
      </c>
      <c r="H36" s="12" t="s">
        <v>44</v>
      </c>
      <c r="I36" s="12"/>
      <c r="J36" s="12" t="s">
        <v>45</v>
      </c>
    </row>
    <row r="37" customFormat="false" ht="32.8" hidden="false" customHeight="false" outlineLevel="0" collapsed="false">
      <c r="A37" s="12" t="s">
        <v>157</v>
      </c>
      <c r="B37" s="12" t="s">
        <v>140</v>
      </c>
      <c r="C37" s="12" t="s">
        <v>141</v>
      </c>
      <c r="D37" s="12" t="s">
        <v>142</v>
      </c>
      <c r="E37" s="12" t="s">
        <v>158</v>
      </c>
      <c r="F37" s="12" t="s">
        <v>159</v>
      </c>
      <c r="G37" s="12" t="s">
        <v>43</v>
      </c>
      <c r="H37" s="12" t="s">
        <v>44</v>
      </c>
      <c r="I37" s="12"/>
      <c r="J37" s="12" t="s">
        <v>45</v>
      </c>
    </row>
    <row r="38" customFormat="false" ht="32.8" hidden="false" customHeight="false" outlineLevel="0" collapsed="false">
      <c r="A38" s="12" t="s">
        <v>160</v>
      </c>
      <c r="B38" s="12" t="s">
        <v>140</v>
      </c>
      <c r="C38" s="12" t="s">
        <v>141</v>
      </c>
      <c r="D38" s="12" t="s">
        <v>142</v>
      </c>
      <c r="E38" s="12" t="s">
        <v>161</v>
      </c>
      <c r="F38" s="12" t="s">
        <v>42</v>
      </c>
      <c r="G38" s="12" t="s">
        <v>43</v>
      </c>
      <c r="H38" s="12" t="s">
        <v>44</v>
      </c>
      <c r="I38" s="12"/>
      <c r="J38" s="12" t="s">
        <v>45</v>
      </c>
    </row>
    <row r="39" customFormat="false" ht="32.8" hidden="false" customHeight="false" outlineLevel="0" collapsed="false">
      <c r="A39" s="12" t="s">
        <v>162</v>
      </c>
      <c r="B39" s="12" t="s">
        <v>140</v>
      </c>
      <c r="C39" s="12" t="s">
        <v>141</v>
      </c>
      <c r="D39" s="12" t="s">
        <v>142</v>
      </c>
      <c r="E39" s="12" t="s">
        <v>163</v>
      </c>
      <c r="F39" s="12" t="s">
        <v>153</v>
      </c>
      <c r="G39" s="12" t="s">
        <v>164</v>
      </c>
      <c r="H39" s="12" t="s">
        <v>64</v>
      </c>
      <c r="I39" s="12" t="s">
        <v>165</v>
      </c>
      <c r="J39" s="12" t="s">
        <v>45</v>
      </c>
    </row>
    <row r="40" customFormat="false" ht="32.8" hidden="false" customHeight="false" outlineLevel="0" collapsed="false">
      <c r="A40" s="12" t="s">
        <v>166</v>
      </c>
      <c r="B40" s="12" t="s">
        <v>140</v>
      </c>
      <c r="C40" s="12" t="s">
        <v>141</v>
      </c>
      <c r="D40" s="12" t="s">
        <v>142</v>
      </c>
      <c r="E40" s="12" t="s">
        <v>167</v>
      </c>
      <c r="F40" s="12" t="s">
        <v>153</v>
      </c>
      <c r="G40" s="12" t="s">
        <v>43</v>
      </c>
      <c r="H40" s="12" t="s">
        <v>44</v>
      </c>
      <c r="I40" s="12"/>
      <c r="J40" s="12" t="s">
        <v>45</v>
      </c>
    </row>
    <row r="41" customFormat="false" ht="32.8" hidden="false" customHeight="false" outlineLevel="0" collapsed="false">
      <c r="A41" s="12" t="s">
        <v>168</v>
      </c>
      <c r="B41" s="12" t="s">
        <v>140</v>
      </c>
      <c r="C41" s="12" t="s">
        <v>141</v>
      </c>
      <c r="D41" s="12" t="s">
        <v>142</v>
      </c>
      <c r="E41" s="12" t="s">
        <v>169</v>
      </c>
      <c r="F41" s="12" t="s">
        <v>170</v>
      </c>
      <c r="G41" s="12" t="s">
        <v>43</v>
      </c>
      <c r="H41" s="12" t="s">
        <v>44</v>
      </c>
      <c r="I41" s="12"/>
      <c r="J41" s="12" t="s">
        <v>45</v>
      </c>
    </row>
    <row r="42" customFormat="false" ht="32.8" hidden="false" customHeight="false" outlineLevel="0" collapsed="false">
      <c r="A42" s="12" t="s">
        <v>171</v>
      </c>
      <c r="B42" s="12" t="s">
        <v>140</v>
      </c>
      <c r="C42" s="12" t="s">
        <v>141</v>
      </c>
      <c r="D42" s="12" t="s">
        <v>142</v>
      </c>
      <c r="E42" s="12" t="s">
        <v>172</v>
      </c>
      <c r="F42" s="12" t="s">
        <v>173</v>
      </c>
      <c r="G42" s="12" t="s">
        <v>43</v>
      </c>
      <c r="H42" s="12" t="s">
        <v>44</v>
      </c>
      <c r="I42" s="12"/>
      <c r="J42" s="12" t="s">
        <v>45</v>
      </c>
    </row>
    <row r="43" customFormat="false" ht="32.8" hidden="false" customHeight="false" outlineLevel="0" collapsed="false">
      <c r="A43" s="12" t="s">
        <v>174</v>
      </c>
      <c r="B43" s="12" t="s">
        <v>140</v>
      </c>
      <c r="C43" s="12" t="s">
        <v>141</v>
      </c>
      <c r="D43" s="12" t="s">
        <v>142</v>
      </c>
      <c r="E43" s="12" t="s">
        <v>175</v>
      </c>
      <c r="F43" s="12" t="s">
        <v>173</v>
      </c>
      <c r="G43" s="12" t="s">
        <v>43</v>
      </c>
      <c r="H43" s="12" t="s">
        <v>44</v>
      </c>
      <c r="I43" s="12"/>
      <c r="J43" s="12" t="s">
        <v>45</v>
      </c>
    </row>
    <row r="44" customFormat="false" ht="32.8" hidden="false" customHeight="false" outlineLevel="0" collapsed="false">
      <c r="A44" s="12" t="s">
        <v>176</v>
      </c>
      <c r="B44" s="12" t="s">
        <v>140</v>
      </c>
      <c r="C44" s="12" t="s">
        <v>141</v>
      </c>
      <c r="D44" s="12" t="s">
        <v>142</v>
      </c>
      <c r="E44" s="12" t="s">
        <v>177</v>
      </c>
      <c r="F44" s="12" t="s">
        <v>178</v>
      </c>
      <c r="G44" s="12" t="s">
        <v>43</v>
      </c>
      <c r="H44" s="12" t="s">
        <v>44</v>
      </c>
      <c r="I44" s="12"/>
      <c r="J44" s="12" t="s">
        <v>45</v>
      </c>
    </row>
    <row r="45" customFormat="false" ht="32.8" hidden="false" customHeight="false" outlineLevel="0" collapsed="false">
      <c r="A45" s="12" t="s">
        <v>179</v>
      </c>
      <c r="B45" s="12" t="s">
        <v>140</v>
      </c>
      <c r="C45" s="12" t="s">
        <v>141</v>
      </c>
      <c r="D45" s="12" t="s">
        <v>142</v>
      </c>
      <c r="E45" s="12" t="s">
        <v>180</v>
      </c>
      <c r="F45" s="12" t="s">
        <v>181</v>
      </c>
      <c r="G45" s="12" t="s">
        <v>43</v>
      </c>
      <c r="H45" s="12" t="s">
        <v>44</v>
      </c>
      <c r="I45" s="12"/>
      <c r="J45" s="12" t="s">
        <v>45</v>
      </c>
    </row>
    <row r="46" customFormat="false" ht="32.8" hidden="false" customHeight="false" outlineLevel="0" collapsed="false">
      <c r="A46" s="12" t="s">
        <v>182</v>
      </c>
      <c r="B46" s="12" t="s">
        <v>140</v>
      </c>
      <c r="C46" s="12" t="s">
        <v>141</v>
      </c>
      <c r="D46" s="12" t="s">
        <v>142</v>
      </c>
      <c r="E46" s="12" t="s">
        <v>183</v>
      </c>
      <c r="F46" s="12" t="s">
        <v>184</v>
      </c>
      <c r="G46" s="12" t="s">
        <v>43</v>
      </c>
      <c r="H46" s="12" t="s">
        <v>44</v>
      </c>
      <c r="I46" s="12"/>
      <c r="J46" s="12" t="s">
        <v>45</v>
      </c>
    </row>
    <row r="47" customFormat="false" ht="32.8" hidden="false" customHeight="false" outlineLevel="0" collapsed="false">
      <c r="A47" s="12" t="s">
        <v>185</v>
      </c>
      <c r="B47" s="12" t="s">
        <v>140</v>
      </c>
      <c r="C47" s="12" t="s">
        <v>141</v>
      </c>
      <c r="D47" s="12" t="s">
        <v>142</v>
      </c>
      <c r="E47" s="12" t="s">
        <v>186</v>
      </c>
      <c r="F47" s="12" t="s">
        <v>187</v>
      </c>
      <c r="G47" s="12" t="s">
        <v>43</v>
      </c>
      <c r="H47" s="12" t="s">
        <v>44</v>
      </c>
      <c r="I47" s="12"/>
      <c r="J47" s="12" t="s">
        <v>45</v>
      </c>
    </row>
    <row r="48" customFormat="false" ht="32.8" hidden="false" customHeight="false" outlineLevel="0" collapsed="false">
      <c r="A48" s="12" t="s">
        <v>188</v>
      </c>
      <c r="B48" s="12" t="s">
        <v>140</v>
      </c>
      <c r="C48" s="12" t="s">
        <v>141</v>
      </c>
      <c r="D48" s="12" t="s">
        <v>142</v>
      </c>
      <c r="E48" s="12" t="s">
        <v>189</v>
      </c>
      <c r="F48" s="12" t="s">
        <v>190</v>
      </c>
      <c r="G48" s="12" t="s">
        <v>43</v>
      </c>
      <c r="H48" s="12" t="s">
        <v>44</v>
      </c>
      <c r="I48" s="12"/>
      <c r="J48" s="12" t="s">
        <v>45</v>
      </c>
    </row>
    <row r="49" customFormat="false" ht="32.8" hidden="false" customHeight="false" outlineLevel="0" collapsed="false">
      <c r="A49" s="12" t="s">
        <v>191</v>
      </c>
      <c r="B49" s="12" t="s">
        <v>192</v>
      </c>
      <c r="C49" s="12" t="s">
        <v>141</v>
      </c>
      <c r="D49" s="12" t="s">
        <v>193</v>
      </c>
      <c r="E49" s="12" t="s">
        <v>194</v>
      </c>
      <c r="F49" s="12" t="s">
        <v>195</v>
      </c>
      <c r="G49" s="12" t="s">
        <v>43</v>
      </c>
      <c r="H49" s="12" t="s">
        <v>44</v>
      </c>
      <c r="I49" s="12"/>
      <c r="J49" s="12" t="s">
        <v>45</v>
      </c>
    </row>
    <row r="50" customFormat="false" ht="32.8" hidden="false" customHeight="false" outlineLevel="0" collapsed="false">
      <c r="A50" s="12" t="s">
        <v>196</v>
      </c>
      <c r="B50" s="12" t="s">
        <v>192</v>
      </c>
      <c r="C50" s="12" t="s">
        <v>141</v>
      </c>
      <c r="D50" s="12" t="s">
        <v>193</v>
      </c>
      <c r="E50" s="12" t="s">
        <v>197</v>
      </c>
      <c r="F50" s="12" t="s">
        <v>198</v>
      </c>
      <c r="G50" s="12" t="s">
        <v>43</v>
      </c>
      <c r="H50" s="12" t="s">
        <v>44</v>
      </c>
      <c r="I50" s="12"/>
      <c r="J50" s="12" t="s">
        <v>45</v>
      </c>
    </row>
    <row r="51" customFormat="false" ht="32.8" hidden="false" customHeight="false" outlineLevel="0" collapsed="false">
      <c r="A51" s="12" t="s">
        <v>199</v>
      </c>
      <c r="B51" s="12" t="s">
        <v>192</v>
      </c>
      <c r="C51" s="12" t="s">
        <v>141</v>
      </c>
      <c r="D51" s="12" t="s">
        <v>193</v>
      </c>
      <c r="E51" s="12" t="s">
        <v>200</v>
      </c>
      <c r="F51" s="12" t="s">
        <v>201</v>
      </c>
      <c r="G51" s="12" t="s">
        <v>43</v>
      </c>
      <c r="H51" s="12" t="s">
        <v>44</v>
      </c>
      <c r="I51" s="12"/>
      <c r="J51" s="12" t="s">
        <v>45</v>
      </c>
    </row>
    <row r="52" customFormat="false" ht="32.8" hidden="false" customHeight="false" outlineLevel="0" collapsed="false">
      <c r="A52" s="12" t="s">
        <v>202</v>
      </c>
      <c r="B52" s="12" t="s">
        <v>192</v>
      </c>
      <c r="C52" s="12" t="s">
        <v>141</v>
      </c>
      <c r="D52" s="12" t="s">
        <v>193</v>
      </c>
      <c r="E52" s="12" t="s">
        <v>189</v>
      </c>
      <c r="F52" s="12" t="s">
        <v>190</v>
      </c>
      <c r="G52" s="12" t="s">
        <v>43</v>
      </c>
      <c r="H52" s="12" t="s">
        <v>44</v>
      </c>
      <c r="I52" s="12"/>
      <c r="J52" s="12" t="s">
        <v>45</v>
      </c>
    </row>
    <row r="53" customFormat="false" ht="32.8" hidden="false" customHeight="false" outlineLevel="0" collapsed="false">
      <c r="A53" s="12" t="s">
        <v>203</v>
      </c>
      <c r="B53" s="12" t="s">
        <v>204</v>
      </c>
      <c r="C53" s="12" t="s">
        <v>141</v>
      </c>
      <c r="D53" s="12" t="s">
        <v>205</v>
      </c>
      <c r="E53" s="12" t="s">
        <v>206</v>
      </c>
      <c r="F53" s="12" t="s">
        <v>207</v>
      </c>
      <c r="G53" s="12" t="s">
        <v>208</v>
      </c>
      <c r="H53" s="12" t="s">
        <v>209</v>
      </c>
      <c r="I53" s="12" t="s">
        <v>210</v>
      </c>
      <c r="J53" s="12" t="s">
        <v>45</v>
      </c>
    </row>
    <row r="54" customFormat="false" ht="32.8" hidden="false" customHeight="false" outlineLevel="0" collapsed="false">
      <c r="A54" s="12" t="s">
        <v>211</v>
      </c>
      <c r="B54" s="12" t="s">
        <v>204</v>
      </c>
      <c r="C54" s="12" t="s">
        <v>141</v>
      </c>
      <c r="D54" s="12" t="s">
        <v>205</v>
      </c>
      <c r="E54" s="12" t="s">
        <v>161</v>
      </c>
      <c r="F54" s="12" t="s">
        <v>212</v>
      </c>
      <c r="G54" s="12" t="s">
        <v>208</v>
      </c>
      <c r="H54" s="12" t="s">
        <v>209</v>
      </c>
      <c r="I54" s="12" t="s">
        <v>210</v>
      </c>
      <c r="J54" s="12" t="s">
        <v>45</v>
      </c>
    </row>
    <row r="55" customFormat="false" ht="32.8" hidden="false" customHeight="false" outlineLevel="0" collapsed="false">
      <c r="A55" s="12" t="s">
        <v>213</v>
      </c>
      <c r="B55" s="12" t="s">
        <v>204</v>
      </c>
      <c r="C55" s="12" t="s">
        <v>141</v>
      </c>
      <c r="D55" s="12" t="s">
        <v>205</v>
      </c>
      <c r="E55" s="12" t="s">
        <v>214</v>
      </c>
      <c r="F55" s="12" t="s">
        <v>159</v>
      </c>
      <c r="G55" s="12" t="s">
        <v>208</v>
      </c>
      <c r="H55" s="12" t="s">
        <v>209</v>
      </c>
      <c r="I55" s="12" t="s">
        <v>210</v>
      </c>
      <c r="J55" s="12" t="s">
        <v>45</v>
      </c>
    </row>
    <row r="56" customFormat="false" ht="32.8" hidden="false" customHeight="false" outlineLevel="0" collapsed="false">
      <c r="A56" s="12" t="s">
        <v>215</v>
      </c>
      <c r="B56" s="12" t="s">
        <v>204</v>
      </c>
      <c r="C56" s="12" t="s">
        <v>141</v>
      </c>
      <c r="D56" s="12" t="s">
        <v>205</v>
      </c>
      <c r="E56" s="12" t="s">
        <v>216</v>
      </c>
      <c r="F56" s="12" t="s">
        <v>173</v>
      </c>
      <c r="G56" s="12" t="s">
        <v>217</v>
      </c>
      <c r="H56" s="12" t="s">
        <v>209</v>
      </c>
      <c r="I56" s="12" t="s">
        <v>210</v>
      </c>
      <c r="J56" s="12" t="s">
        <v>45</v>
      </c>
    </row>
    <row r="57" customFormat="false" ht="32.8" hidden="false" customHeight="false" outlineLevel="0" collapsed="false">
      <c r="A57" s="12" t="s">
        <v>218</v>
      </c>
      <c r="B57" s="12" t="s">
        <v>204</v>
      </c>
      <c r="C57" s="12" t="s">
        <v>141</v>
      </c>
      <c r="D57" s="12" t="s">
        <v>205</v>
      </c>
      <c r="E57" s="12" t="s">
        <v>219</v>
      </c>
      <c r="F57" s="12" t="s">
        <v>173</v>
      </c>
      <c r="G57" s="12" t="s">
        <v>217</v>
      </c>
      <c r="H57" s="12" t="s">
        <v>209</v>
      </c>
      <c r="I57" s="12" t="s">
        <v>210</v>
      </c>
      <c r="J57" s="12" t="s">
        <v>45</v>
      </c>
    </row>
    <row r="58" customFormat="false" ht="32.8" hidden="false" customHeight="false" outlineLevel="0" collapsed="false">
      <c r="A58" s="12" t="s">
        <v>220</v>
      </c>
      <c r="B58" s="12" t="s">
        <v>204</v>
      </c>
      <c r="C58" s="12" t="s">
        <v>141</v>
      </c>
      <c r="D58" s="12" t="s">
        <v>205</v>
      </c>
      <c r="E58" s="12" t="s">
        <v>221</v>
      </c>
      <c r="F58" s="12" t="s">
        <v>222</v>
      </c>
      <c r="G58" s="12" t="s">
        <v>217</v>
      </c>
      <c r="H58" s="12" t="s">
        <v>209</v>
      </c>
      <c r="I58" s="12" t="s">
        <v>210</v>
      </c>
      <c r="J58" s="12" t="s">
        <v>45</v>
      </c>
    </row>
    <row r="59" customFormat="false" ht="32.8" hidden="false" customHeight="false" outlineLevel="0" collapsed="false">
      <c r="A59" s="12" t="s">
        <v>223</v>
      </c>
      <c r="B59" s="12" t="s">
        <v>204</v>
      </c>
      <c r="C59" s="12" t="s">
        <v>141</v>
      </c>
      <c r="D59" s="12" t="s">
        <v>205</v>
      </c>
      <c r="E59" s="12" t="s">
        <v>224</v>
      </c>
      <c r="F59" s="12" t="s">
        <v>225</v>
      </c>
      <c r="G59" s="12" t="s">
        <v>208</v>
      </c>
      <c r="H59" s="12" t="s">
        <v>209</v>
      </c>
      <c r="I59" s="12" t="s">
        <v>210</v>
      </c>
      <c r="J59" s="12" t="s">
        <v>45</v>
      </c>
    </row>
    <row r="60" customFormat="false" ht="32.8" hidden="false" customHeight="false" outlineLevel="0" collapsed="false">
      <c r="A60" s="12" t="s">
        <v>226</v>
      </c>
      <c r="B60" s="12" t="s">
        <v>204</v>
      </c>
      <c r="C60" s="12" t="s">
        <v>141</v>
      </c>
      <c r="D60" s="12" t="s">
        <v>205</v>
      </c>
      <c r="E60" s="12" t="s">
        <v>189</v>
      </c>
      <c r="F60" s="12" t="s">
        <v>190</v>
      </c>
      <c r="G60" s="12" t="s">
        <v>208</v>
      </c>
      <c r="H60" s="12" t="s">
        <v>209</v>
      </c>
      <c r="I60" s="12" t="s">
        <v>210</v>
      </c>
      <c r="J60" s="12" t="s">
        <v>45</v>
      </c>
    </row>
    <row r="61" customFormat="false" ht="32.8" hidden="false" customHeight="false" outlineLevel="0" collapsed="false">
      <c r="A61" s="12" t="s">
        <v>227</v>
      </c>
      <c r="B61" s="12" t="s">
        <v>228</v>
      </c>
      <c r="C61" s="12" t="s">
        <v>141</v>
      </c>
      <c r="D61" s="12" t="s">
        <v>229</v>
      </c>
      <c r="E61" s="12" t="s">
        <v>230</v>
      </c>
      <c r="F61" s="12" t="s">
        <v>231</v>
      </c>
      <c r="G61" s="12" t="s">
        <v>208</v>
      </c>
      <c r="H61" s="12" t="s">
        <v>209</v>
      </c>
      <c r="I61" s="12" t="s">
        <v>210</v>
      </c>
      <c r="J61" s="12" t="s">
        <v>45</v>
      </c>
    </row>
    <row r="62" customFormat="false" ht="32.8" hidden="false" customHeight="false" outlineLevel="0" collapsed="false">
      <c r="A62" s="12" t="s">
        <v>232</v>
      </c>
      <c r="B62" s="12" t="s">
        <v>228</v>
      </c>
      <c r="C62" s="12" t="s">
        <v>141</v>
      </c>
      <c r="D62" s="12" t="s">
        <v>229</v>
      </c>
      <c r="E62" s="12" t="s">
        <v>233</v>
      </c>
      <c r="F62" s="12" t="s">
        <v>234</v>
      </c>
      <c r="G62" s="12" t="s">
        <v>208</v>
      </c>
      <c r="H62" s="12" t="s">
        <v>209</v>
      </c>
      <c r="I62" s="12" t="s">
        <v>210</v>
      </c>
      <c r="J62" s="12" t="s">
        <v>45</v>
      </c>
    </row>
    <row r="63" customFormat="false" ht="32.8" hidden="false" customHeight="false" outlineLevel="0" collapsed="false">
      <c r="A63" s="12" t="s">
        <v>235</v>
      </c>
      <c r="B63" s="12" t="s">
        <v>228</v>
      </c>
      <c r="C63" s="12" t="s">
        <v>141</v>
      </c>
      <c r="D63" s="12" t="s">
        <v>229</v>
      </c>
      <c r="E63" s="12" t="s">
        <v>236</v>
      </c>
      <c r="F63" s="12" t="s">
        <v>173</v>
      </c>
      <c r="G63" s="12" t="s">
        <v>217</v>
      </c>
      <c r="H63" s="12" t="s">
        <v>209</v>
      </c>
      <c r="I63" s="12" t="s">
        <v>210</v>
      </c>
      <c r="J63" s="12" t="s">
        <v>45</v>
      </c>
    </row>
    <row r="64" customFormat="false" ht="32.8" hidden="false" customHeight="false" outlineLevel="0" collapsed="false">
      <c r="A64" s="12" t="s">
        <v>237</v>
      </c>
      <c r="B64" s="12" t="s">
        <v>228</v>
      </c>
      <c r="C64" s="12" t="s">
        <v>141</v>
      </c>
      <c r="D64" s="12" t="s">
        <v>229</v>
      </c>
      <c r="E64" s="12" t="s">
        <v>238</v>
      </c>
      <c r="F64" s="12" t="s">
        <v>239</v>
      </c>
      <c r="G64" s="12" t="s">
        <v>217</v>
      </c>
      <c r="H64" s="12" t="s">
        <v>209</v>
      </c>
      <c r="I64" s="12" t="s">
        <v>210</v>
      </c>
      <c r="J64" s="12" t="s">
        <v>45</v>
      </c>
    </row>
    <row r="65" customFormat="false" ht="32.8" hidden="false" customHeight="false" outlineLevel="0" collapsed="false">
      <c r="A65" s="12" t="s">
        <v>240</v>
      </c>
      <c r="B65" s="12" t="s">
        <v>228</v>
      </c>
      <c r="C65" s="12" t="s">
        <v>141</v>
      </c>
      <c r="D65" s="12" t="s">
        <v>229</v>
      </c>
      <c r="E65" s="12" t="s">
        <v>241</v>
      </c>
      <c r="F65" s="12" t="s">
        <v>242</v>
      </c>
      <c r="G65" s="12" t="s">
        <v>243</v>
      </c>
      <c r="H65" s="12" t="s">
        <v>209</v>
      </c>
      <c r="I65" s="12" t="s">
        <v>244</v>
      </c>
      <c r="J65" s="12" t="s">
        <v>45</v>
      </c>
    </row>
    <row r="66" customFormat="false" ht="32.8" hidden="false" customHeight="false" outlineLevel="0" collapsed="false">
      <c r="A66" s="12" t="s">
        <v>245</v>
      </c>
      <c r="B66" s="12" t="s">
        <v>228</v>
      </c>
      <c r="C66" s="12" t="s">
        <v>141</v>
      </c>
      <c r="D66" s="12" t="s">
        <v>229</v>
      </c>
      <c r="E66" s="12" t="s">
        <v>189</v>
      </c>
      <c r="F66" s="12" t="s">
        <v>190</v>
      </c>
      <c r="G66" s="12" t="s">
        <v>208</v>
      </c>
      <c r="H66" s="12" t="s">
        <v>209</v>
      </c>
      <c r="I66" s="12" t="s">
        <v>210</v>
      </c>
      <c r="J66" s="12" t="s">
        <v>45</v>
      </c>
    </row>
    <row r="67" customFormat="false" ht="43.25" hidden="false" customHeight="false" outlineLevel="0" collapsed="false">
      <c r="A67" s="12" t="s">
        <v>246</v>
      </c>
      <c r="B67" s="12" t="s">
        <v>134</v>
      </c>
      <c r="C67" s="12" t="s">
        <v>141</v>
      </c>
      <c r="D67" s="12" t="s">
        <v>135</v>
      </c>
      <c r="E67" s="12" t="s">
        <v>247</v>
      </c>
      <c r="F67" s="12"/>
      <c r="G67" s="12" t="s">
        <v>208</v>
      </c>
      <c r="H67" s="12" t="s">
        <v>209</v>
      </c>
      <c r="I67" s="12" t="s">
        <v>210</v>
      </c>
      <c r="J67" s="12" t="s">
        <v>45</v>
      </c>
    </row>
    <row r="68" customFormat="false" ht="32.8" hidden="false" customHeight="false" outlineLevel="0" collapsed="false">
      <c r="A68" s="12" t="s">
        <v>248</v>
      </c>
      <c r="B68" s="12" t="s">
        <v>249</v>
      </c>
      <c r="C68" s="12" t="s">
        <v>250</v>
      </c>
      <c r="D68" s="12" t="s">
        <v>251</v>
      </c>
      <c r="E68" s="12" t="s">
        <v>252</v>
      </c>
      <c r="F68" s="12" t="s">
        <v>253</v>
      </c>
      <c r="G68" s="12" t="s">
        <v>43</v>
      </c>
      <c r="H68" s="12" t="s">
        <v>44</v>
      </c>
      <c r="I68" s="12"/>
      <c r="J68" s="12" t="s">
        <v>45</v>
      </c>
    </row>
    <row r="69" customFormat="false" ht="32.8" hidden="false" customHeight="false" outlineLevel="0" collapsed="false">
      <c r="A69" s="12" t="s">
        <v>254</v>
      </c>
      <c r="B69" s="12" t="s">
        <v>249</v>
      </c>
      <c r="C69" s="12" t="s">
        <v>250</v>
      </c>
      <c r="D69" s="12" t="s">
        <v>251</v>
      </c>
      <c r="E69" s="12" t="s">
        <v>189</v>
      </c>
      <c r="F69" s="12" t="s">
        <v>190</v>
      </c>
      <c r="G69" s="12" t="s">
        <v>43</v>
      </c>
      <c r="H69" s="12" t="s">
        <v>44</v>
      </c>
      <c r="I69" s="12"/>
      <c r="J69" s="12" t="s">
        <v>45</v>
      </c>
    </row>
    <row r="70" customFormat="false" ht="32.8" hidden="false" customHeight="false" outlineLevel="0" collapsed="false">
      <c r="A70" s="12" t="s">
        <v>255</v>
      </c>
      <c r="B70" s="12" t="s">
        <v>256</v>
      </c>
      <c r="C70" s="12" t="s">
        <v>250</v>
      </c>
      <c r="D70" s="12" t="s">
        <v>257</v>
      </c>
      <c r="E70" s="12" t="s">
        <v>258</v>
      </c>
      <c r="F70" s="12" t="s">
        <v>259</v>
      </c>
      <c r="G70" s="12" t="s">
        <v>43</v>
      </c>
      <c r="H70" s="12" t="s">
        <v>44</v>
      </c>
      <c r="I70" s="12"/>
      <c r="J70" s="12" t="s">
        <v>45</v>
      </c>
    </row>
    <row r="71" customFormat="false" ht="32.8" hidden="false" customHeight="false" outlineLevel="0" collapsed="false">
      <c r="A71" s="12" t="s">
        <v>260</v>
      </c>
      <c r="B71" s="12" t="s">
        <v>256</v>
      </c>
      <c r="C71" s="12" t="s">
        <v>250</v>
      </c>
      <c r="D71" s="12" t="s">
        <v>257</v>
      </c>
      <c r="E71" s="12" t="s">
        <v>261</v>
      </c>
      <c r="F71" s="12" t="s">
        <v>262</v>
      </c>
      <c r="G71" s="12" t="s">
        <v>43</v>
      </c>
      <c r="H71" s="12" t="s">
        <v>44</v>
      </c>
      <c r="I71" s="12"/>
      <c r="J71" s="12" t="s">
        <v>45</v>
      </c>
    </row>
    <row r="72" customFormat="false" ht="32.8" hidden="false" customHeight="false" outlineLevel="0" collapsed="false">
      <c r="A72" s="12" t="s">
        <v>263</v>
      </c>
      <c r="B72" s="12" t="s">
        <v>264</v>
      </c>
      <c r="C72" s="12" t="s">
        <v>250</v>
      </c>
      <c r="D72" s="12" t="s">
        <v>265</v>
      </c>
      <c r="E72" s="12" t="s">
        <v>266</v>
      </c>
      <c r="F72" s="12" t="s">
        <v>267</v>
      </c>
      <c r="G72" s="12" t="s">
        <v>43</v>
      </c>
      <c r="H72" s="12" t="s">
        <v>44</v>
      </c>
      <c r="I72" s="12"/>
      <c r="J72" s="12" t="s">
        <v>45</v>
      </c>
    </row>
    <row r="73" customFormat="false" ht="32.8" hidden="false" customHeight="false" outlineLevel="0" collapsed="false">
      <c r="A73" s="12" t="s">
        <v>268</v>
      </c>
      <c r="B73" s="12" t="s">
        <v>264</v>
      </c>
      <c r="C73" s="12" t="s">
        <v>250</v>
      </c>
      <c r="D73" s="12" t="s">
        <v>265</v>
      </c>
      <c r="E73" s="12" t="s">
        <v>269</v>
      </c>
      <c r="F73" s="12" t="s">
        <v>270</v>
      </c>
      <c r="G73" s="12" t="s">
        <v>43</v>
      </c>
      <c r="H73" s="12" t="s">
        <v>44</v>
      </c>
      <c r="I73" s="12"/>
      <c r="J73" s="12" t="s">
        <v>45</v>
      </c>
    </row>
    <row r="74" customFormat="false" ht="32.8" hidden="false" customHeight="false" outlineLevel="0" collapsed="false">
      <c r="A74" s="12" t="s">
        <v>271</v>
      </c>
      <c r="B74" s="12" t="s">
        <v>264</v>
      </c>
      <c r="C74" s="12" t="s">
        <v>250</v>
      </c>
      <c r="D74" s="12" t="s">
        <v>265</v>
      </c>
      <c r="E74" s="12" t="s">
        <v>272</v>
      </c>
      <c r="F74" s="12" t="s">
        <v>267</v>
      </c>
      <c r="G74" s="12" t="s">
        <v>43</v>
      </c>
      <c r="H74" s="12" t="s">
        <v>44</v>
      </c>
      <c r="I74" s="12"/>
      <c r="J74" s="12" t="s">
        <v>45</v>
      </c>
    </row>
    <row r="75" customFormat="false" ht="32.8" hidden="false" customHeight="false" outlineLevel="0" collapsed="false">
      <c r="A75" s="12" t="s">
        <v>273</v>
      </c>
      <c r="B75" s="12" t="s">
        <v>264</v>
      </c>
      <c r="C75" s="12" t="s">
        <v>250</v>
      </c>
      <c r="D75" s="12" t="s">
        <v>265</v>
      </c>
      <c r="E75" s="12" t="s">
        <v>274</v>
      </c>
      <c r="F75" s="12" t="s">
        <v>275</v>
      </c>
      <c r="G75" s="12" t="s">
        <v>43</v>
      </c>
      <c r="H75" s="12" t="s">
        <v>44</v>
      </c>
      <c r="I75" s="12"/>
      <c r="J75" s="12" t="s">
        <v>45</v>
      </c>
    </row>
    <row r="76" customFormat="false" ht="32.8" hidden="false" customHeight="false" outlineLevel="0" collapsed="false">
      <c r="A76" s="12" t="s">
        <v>276</v>
      </c>
      <c r="B76" s="12" t="s">
        <v>264</v>
      </c>
      <c r="C76" s="12" t="s">
        <v>250</v>
      </c>
      <c r="D76" s="12" t="s">
        <v>265</v>
      </c>
      <c r="E76" s="12" t="s">
        <v>277</v>
      </c>
      <c r="F76" s="12" t="s">
        <v>278</v>
      </c>
      <c r="G76" s="12" t="s">
        <v>43</v>
      </c>
      <c r="H76" s="12" t="s">
        <v>44</v>
      </c>
      <c r="I76" s="12"/>
      <c r="J76" s="12" t="s">
        <v>45</v>
      </c>
    </row>
    <row r="77" customFormat="false" ht="32.8" hidden="false" customHeight="false" outlineLevel="0" collapsed="false">
      <c r="A77" s="12" t="s">
        <v>279</v>
      </c>
      <c r="B77" s="12" t="s">
        <v>264</v>
      </c>
      <c r="C77" s="12" t="s">
        <v>250</v>
      </c>
      <c r="D77" s="12" t="s">
        <v>265</v>
      </c>
      <c r="E77" s="12" t="s">
        <v>280</v>
      </c>
      <c r="F77" s="12" t="s">
        <v>281</v>
      </c>
      <c r="G77" s="12" t="s">
        <v>43</v>
      </c>
      <c r="H77" s="12" t="s">
        <v>44</v>
      </c>
      <c r="I77" s="12"/>
      <c r="J77" s="12" t="s">
        <v>45</v>
      </c>
    </row>
    <row r="78" customFormat="false" ht="32.8" hidden="false" customHeight="false" outlineLevel="0" collapsed="false">
      <c r="A78" s="12" t="s">
        <v>282</v>
      </c>
      <c r="B78" s="12" t="s">
        <v>283</v>
      </c>
      <c r="C78" s="12" t="s">
        <v>250</v>
      </c>
      <c r="D78" s="12" t="s">
        <v>284</v>
      </c>
      <c r="E78" s="12" t="s">
        <v>285</v>
      </c>
      <c r="F78" s="12" t="s">
        <v>286</v>
      </c>
      <c r="G78" s="12" t="s">
        <v>43</v>
      </c>
      <c r="H78" s="12" t="s">
        <v>44</v>
      </c>
      <c r="I78" s="12"/>
      <c r="J78" s="12" t="s">
        <v>45</v>
      </c>
    </row>
    <row r="79" customFormat="false" ht="32.8" hidden="false" customHeight="false" outlineLevel="0" collapsed="false">
      <c r="A79" s="12" t="s">
        <v>287</v>
      </c>
      <c r="B79" s="12" t="s">
        <v>288</v>
      </c>
      <c r="C79" s="12" t="s">
        <v>250</v>
      </c>
      <c r="D79" s="12" t="s">
        <v>289</v>
      </c>
      <c r="E79" s="12" t="s">
        <v>290</v>
      </c>
      <c r="F79" s="12" t="s">
        <v>291</v>
      </c>
      <c r="G79" s="12" t="s">
        <v>43</v>
      </c>
      <c r="H79" s="12" t="s">
        <v>44</v>
      </c>
      <c r="I79" s="12"/>
      <c r="J79" s="12" t="s">
        <v>45</v>
      </c>
    </row>
    <row r="80" customFormat="false" ht="32.8" hidden="false" customHeight="false" outlineLevel="0" collapsed="false">
      <c r="A80" s="12" t="s">
        <v>292</v>
      </c>
      <c r="B80" s="12" t="s">
        <v>288</v>
      </c>
      <c r="C80" s="12" t="s">
        <v>250</v>
      </c>
      <c r="D80" s="12" t="s">
        <v>289</v>
      </c>
      <c r="E80" s="12" t="s">
        <v>293</v>
      </c>
      <c r="F80" s="12" t="s">
        <v>173</v>
      </c>
      <c r="G80" s="12" t="s">
        <v>43</v>
      </c>
      <c r="H80" s="12" t="s">
        <v>44</v>
      </c>
      <c r="I80" s="12"/>
      <c r="J80" s="12" t="s">
        <v>45</v>
      </c>
    </row>
    <row r="81" customFormat="false" ht="32.8" hidden="false" customHeight="false" outlineLevel="0" collapsed="false">
      <c r="A81" s="12" t="s">
        <v>294</v>
      </c>
      <c r="B81" s="12" t="s">
        <v>295</v>
      </c>
      <c r="C81" s="12" t="s">
        <v>250</v>
      </c>
      <c r="D81" s="12" t="s">
        <v>296</v>
      </c>
      <c r="E81" s="12" t="s">
        <v>297</v>
      </c>
      <c r="F81" s="12" t="s">
        <v>298</v>
      </c>
      <c r="G81" s="12" t="s">
        <v>43</v>
      </c>
      <c r="H81" s="12" t="s">
        <v>44</v>
      </c>
      <c r="I81" s="12"/>
      <c r="J81" s="12" t="s">
        <v>45</v>
      </c>
    </row>
    <row r="82" customFormat="false" ht="32.8" hidden="false" customHeight="false" outlineLevel="0" collapsed="false">
      <c r="A82" s="12" t="s">
        <v>299</v>
      </c>
      <c r="B82" s="12" t="s">
        <v>295</v>
      </c>
      <c r="C82" s="12" t="s">
        <v>250</v>
      </c>
      <c r="D82" s="12" t="s">
        <v>296</v>
      </c>
      <c r="E82" s="12" t="s">
        <v>300</v>
      </c>
      <c r="F82" s="12" t="s">
        <v>173</v>
      </c>
      <c r="G82" s="12" t="s">
        <v>43</v>
      </c>
      <c r="H82" s="12" t="s">
        <v>44</v>
      </c>
      <c r="I82" s="12"/>
      <c r="J82" s="12" t="s">
        <v>45</v>
      </c>
    </row>
    <row r="83" customFormat="false" ht="32.8" hidden="false" customHeight="false" outlineLevel="0" collapsed="false">
      <c r="A83" s="12" t="s">
        <v>301</v>
      </c>
      <c r="B83" s="12" t="s">
        <v>302</v>
      </c>
      <c r="C83" s="12" t="s">
        <v>250</v>
      </c>
      <c r="D83" s="12" t="s">
        <v>303</v>
      </c>
      <c r="E83" s="12" t="s">
        <v>304</v>
      </c>
      <c r="F83" s="12" t="s">
        <v>305</v>
      </c>
      <c r="G83" s="12" t="s">
        <v>43</v>
      </c>
      <c r="H83" s="12" t="s">
        <v>44</v>
      </c>
      <c r="I83" s="12"/>
      <c r="J83" s="12" t="s">
        <v>45</v>
      </c>
    </row>
    <row r="84" customFormat="false" ht="32.8" hidden="false" customHeight="false" outlineLevel="0" collapsed="false">
      <c r="A84" s="12" t="s">
        <v>306</v>
      </c>
      <c r="B84" s="12" t="s">
        <v>302</v>
      </c>
      <c r="C84" s="12" t="s">
        <v>250</v>
      </c>
      <c r="D84" s="12" t="s">
        <v>303</v>
      </c>
      <c r="E84" s="12" t="s">
        <v>307</v>
      </c>
      <c r="F84" s="12" t="s">
        <v>308</v>
      </c>
      <c r="G84" s="12" t="s">
        <v>43</v>
      </c>
      <c r="H84" s="12" t="s">
        <v>44</v>
      </c>
      <c r="I84" s="12"/>
      <c r="J84" s="12" t="s">
        <v>45</v>
      </c>
    </row>
    <row r="85" customFormat="false" ht="32.8" hidden="false" customHeight="false" outlineLevel="0" collapsed="false">
      <c r="A85" s="12" t="s">
        <v>309</v>
      </c>
      <c r="B85" s="12" t="s">
        <v>302</v>
      </c>
      <c r="C85" s="12" t="s">
        <v>250</v>
      </c>
      <c r="D85" s="12" t="s">
        <v>303</v>
      </c>
      <c r="E85" s="12" t="s">
        <v>310</v>
      </c>
      <c r="F85" s="12" t="s">
        <v>311</v>
      </c>
      <c r="G85" s="12" t="s">
        <v>43</v>
      </c>
      <c r="H85" s="12" t="s">
        <v>44</v>
      </c>
      <c r="I85" s="12"/>
      <c r="J85" s="12" t="s">
        <v>45</v>
      </c>
    </row>
    <row r="86" customFormat="false" ht="32.8" hidden="false" customHeight="false" outlineLevel="0" collapsed="false">
      <c r="A86" s="12" t="s">
        <v>312</v>
      </c>
      <c r="B86" s="12" t="s">
        <v>302</v>
      </c>
      <c r="C86" s="12" t="s">
        <v>250</v>
      </c>
      <c r="D86" s="12" t="s">
        <v>303</v>
      </c>
      <c r="E86" s="12" t="s">
        <v>313</v>
      </c>
      <c r="F86" s="12" t="s">
        <v>51</v>
      </c>
      <c r="G86" s="12" t="s">
        <v>43</v>
      </c>
      <c r="H86" s="12" t="s">
        <v>44</v>
      </c>
      <c r="I86" s="12"/>
      <c r="J86" s="12" t="s">
        <v>45</v>
      </c>
    </row>
    <row r="87" customFormat="false" ht="32.8" hidden="false" customHeight="false" outlineLevel="0" collapsed="false">
      <c r="A87" s="12" t="s">
        <v>314</v>
      </c>
      <c r="B87" s="12" t="s">
        <v>302</v>
      </c>
      <c r="C87" s="12" t="s">
        <v>250</v>
      </c>
      <c r="D87" s="12" t="s">
        <v>303</v>
      </c>
      <c r="E87" s="12" t="s">
        <v>315</v>
      </c>
      <c r="F87" s="12" t="s">
        <v>59</v>
      </c>
      <c r="G87" s="12" t="s">
        <v>43</v>
      </c>
      <c r="H87" s="12" t="s">
        <v>44</v>
      </c>
      <c r="I87" s="12"/>
      <c r="J87" s="12" t="s">
        <v>45</v>
      </c>
    </row>
    <row r="88" customFormat="false" ht="32.8" hidden="false" customHeight="false" outlineLevel="0" collapsed="false">
      <c r="A88" s="12" t="s">
        <v>316</v>
      </c>
      <c r="B88" s="12" t="s">
        <v>302</v>
      </c>
      <c r="C88" s="12" t="s">
        <v>250</v>
      </c>
      <c r="D88" s="12" t="s">
        <v>303</v>
      </c>
      <c r="E88" s="12" t="s">
        <v>317</v>
      </c>
      <c r="F88" s="12" t="s">
        <v>54</v>
      </c>
      <c r="G88" s="12" t="s">
        <v>318</v>
      </c>
      <c r="H88" s="12" t="s">
        <v>64</v>
      </c>
      <c r="I88" s="12" t="s">
        <v>319</v>
      </c>
      <c r="J88" s="12" t="s">
        <v>45</v>
      </c>
    </row>
    <row r="89" customFormat="false" ht="32.8" hidden="false" customHeight="false" outlineLevel="0" collapsed="false">
      <c r="A89" s="12" t="s">
        <v>320</v>
      </c>
      <c r="B89" s="12" t="s">
        <v>302</v>
      </c>
      <c r="C89" s="12" t="s">
        <v>250</v>
      </c>
      <c r="D89" s="12" t="s">
        <v>303</v>
      </c>
      <c r="E89" s="12" t="s">
        <v>321</v>
      </c>
      <c r="F89" s="12"/>
      <c r="G89" s="12" t="s">
        <v>43</v>
      </c>
      <c r="H89" s="12" t="s">
        <v>44</v>
      </c>
      <c r="I89" s="12"/>
      <c r="J89" s="12" t="s">
        <v>45</v>
      </c>
    </row>
    <row r="90" customFormat="false" ht="32.8" hidden="false" customHeight="false" outlineLevel="0" collapsed="false">
      <c r="A90" s="12" t="s">
        <v>322</v>
      </c>
      <c r="B90" s="12" t="s">
        <v>204</v>
      </c>
      <c r="C90" s="12" t="s">
        <v>250</v>
      </c>
      <c r="D90" s="12" t="s">
        <v>205</v>
      </c>
      <c r="E90" s="12" t="s">
        <v>323</v>
      </c>
      <c r="F90" s="12" t="s">
        <v>324</v>
      </c>
      <c r="G90" s="12" t="s">
        <v>43</v>
      </c>
      <c r="H90" s="12" t="s">
        <v>44</v>
      </c>
      <c r="I90" s="12"/>
      <c r="J90" s="12" t="s">
        <v>45</v>
      </c>
    </row>
    <row r="91" customFormat="false" ht="32.8" hidden="false" customHeight="false" outlineLevel="0" collapsed="false">
      <c r="A91" s="12" t="s">
        <v>325</v>
      </c>
      <c r="B91" s="12" t="s">
        <v>326</v>
      </c>
      <c r="C91" s="12" t="s">
        <v>250</v>
      </c>
      <c r="D91" s="12" t="s">
        <v>327</v>
      </c>
      <c r="E91" s="12" t="s">
        <v>328</v>
      </c>
      <c r="F91" s="12" t="s">
        <v>329</v>
      </c>
      <c r="G91" s="12" t="s">
        <v>43</v>
      </c>
      <c r="H91" s="12" t="s">
        <v>44</v>
      </c>
      <c r="I91" s="12"/>
      <c r="J91" s="12" t="s">
        <v>45</v>
      </c>
    </row>
    <row r="92" customFormat="false" ht="32.8" hidden="false" customHeight="false" outlineLevel="0" collapsed="false">
      <c r="A92" s="12" t="s">
        <v>330</v>
      </c>
      <c r="B92" s="12" t="s">
        <v>331</v>
      </c>
      <c r="C92" s="12" t="s">
        <v>250</v>
      </c>
      <c r="D92" s="12" t="s">
        <v>332</v>
      </c>
      <c r="E92" s="12" t="s">
        <v>333</v>
      </c>
      <c r="F92" s="12" t="s">
        <v>334</v>
      </c>
      <c r="G92" s="12" t="s">
        <v>43</v>
      </c>
      <c r="H92" s="12" t="s">
        <v>44</v>
      </c>
      <c r="I92" s="12"/>
      <c r="J92" s="12" t="s">
        <v>45</v>
      </c>
    </row>
    <row r="93" customFormat="false" ht="32.8" hidden="false" customHeight="false" outlineLevel="0" collapsed="false">
      <c r="A93" s="12" t="s">
        <v>335</v>
      </c>
      <c r="B93" s="12" t="s">
        <v>331</v>
      </c>
      <c r="C93" s="12" t="s">
        <v>250</v>
      </c>
      <c r="D93" s="12" t="s">
        <v>332</v>
      </c>
      <c r="E93" s="12" t="s">
        <v>336</v>
      </c>
      <c r="F93" s="12" t="s">
        <v>337</v>
      </c>
      <c r="G93" s="12" t="s">
        <v>43</v>
      </c>
      <c r="H93" s="12" t="s">
        <v>44</v>
      </c>
      <c r="I93" s="12"/>
      <c r="J93" s="12" t="s">
        <v>45</v>
      </c>
    </row>
    <row r="94" customFormat="false" ht="43.25" hidden="false" customHeight="false" outlineLevel="0" collapsed="false">
      <c r="A94" s="12" t="s">
        <v>338</v>
      </c>
      <c r="B94" s="12" t="s">
        <v>339</v>
      </c>
      <c r="C94" s="12" t="s">
        <v>250</v>
      </c>
      <c r="D94" s="12" t="s">
        <v>340</v>
      </c>
      <c r="E94" s="12" t="s">
        <v>341</v>
      </c>
      <c r="F94" s="12" t="s">
        <v>342</v>
      </c>
      <c r="G94" s="12" t="s">
        <v>343</v>
      </c>
      <c r="H94" s="12" t="s">
        <v>64</v>
      </c>
      <c r="I94" s="12" t="s">
        <v>344</v>
      </c>
      <c r="J94" s="12" t="s">
        <v>45</v>
      </c>
    </row>
    <row r="95" customFormat="false" ht="32.8" hidden="false" customHeight="false" outlineLevel="0" collapsed="false">
      <c r="A95" s="12" t="s">
        <v>345</v>
      </c>
      <c r="B95" s="12" t="s">
        <v>346</v>
      </c>
      <c r="C95" s="12" t="s">
        <v>250</v>
      </c>
      <c r="D95" s="12" t="s">
        <v>347</v>
      </c>
      <c r="E95" s="12" t="s">
        <v>348</v>
      </c>
      <c r="F95" s="12" t="s">
        <v>349</v>
      </c>
      <c r="G95" s="12" t="s">
        <v>43</v>
      </c>
      <c r="H95" s="12" t="s">
        <v>44</v>
      </c>
      <c r="I95" s="12"/>
      <c r="J95" s="12" t="s">
        <v>45</v>
      </c>
    </row>
    <row r="96" customFormat="false" ht="32.8" hidden="false" customHeight="false" outlineLevel="0" collapsed="false">
      <c r="A96" s="12" t="s">
        <v>350</v>
      </c>
      <c r="B96" s="12" t="s">
        <v>346</v>
      </c>
      <c r="C96" s="12" t="s">
        <v>250</v>
      </c>
      <c r="D96" s="12" t="s">
        <v>347</v>
      </c>
      <c r="E96" s="12" t="s">
        <v>351</v>
      </c>
      <c r="F96" s="12" t="s">
        <v>352</v>
      </c>
      <c r="G96" s="12" t="s">
        <v>43</v>
      </c>
      <c r="H96" s="12" t="s">
        <v>44</v>
      </c>
      <c r="I96" s="12"/>
      <c r="J96" s="12" t="s">
        <v>45</v>
      </c>
    </row>
    <row r="97" customFormat="false" ht="32.8" hidden="false" customHeight="false" outlineLevel="0" collapsed="false">
      <c r="A97" s="12" t="s">
        <v>353</v>
      </c>
      <c r="B97" s="12" t="s">
        <v>346</v>
      </c>
      <c r="C97" s="12" t="s">
        <v>250</v>
      </c>
      <c r="D97" s="12" t="s">
        <v>347</v>
      </c>
      <c r="E97" s="12" t="s">
        <v>354</v>
      </c>
      <c r="F97" s="12" t="s">
        <v>355</v>
      </c>
      <c r="G97" s="12" t="s">
        <v>43</v>
      </c>
      <c r="H97" s="12" t="s">
        <v>44</v>
      </c>
      <c r="I97" s="12"/>
      <c r="J97" s="12" t="s">
        <v>45</v>
      </c>
    </row>
    <row r="98" customFormat="false" ht="32.8" hidden="false" customHeight="false" outlineLevel="0" collapsed="false">
      <c r="A98" s="12" t="s">
        <v>356</v>
      </c>
      <c r="B98" s="12" t="s">
        <v>346</v>
      </c>
      <c r="C98" s="12" t="s">
        <v>250</v>
      </c>
      <c r="D98" s="12" t="s">
        <v>347</v>
      </c>
      <c r="E98" s="12" t="s">
        <v>357</v>
      </c>
      <c r="F98" s="12" t="s">
        <v>358</v>
      </c>
      <c r="G98" s="12" t="s">
        <v>43</v>
      </c>
      <c r="H98" s="12" t="s">
        <v>44</v>
      </c>
      <c r="I98" s="12"/>
      <c r="J98" s="12" t="s">
        <v>45</v>
      </c>
    </row>
    <row r="99" customFormat="false" ht="32.8" hidden="false" customHeight="false" outlineLevel="0" collapsed="false">
      <c r="A99" s="12" t="s">
        <v>359</v>
      </c>
      <c r="B99" s="12" t="s">
        <v>346</v>
      </c>
      <c r="C99" s="12" t="s">
        <v>250</v>
      </c>
      <c r="D99" s="12" t="s">
        <v>347</v>
      </c>
      <c r="E99" s="12" t="s">
        <v>360</v>
      </c>
      <c r="F99" s="12" t="s">
        <v>361</v>
      </c>
      <c r="G99" s="12" t="s">
        <v>43</v>
      </c>
      <c r="H99" s="12" t="s">
        <v>44</v>
      </c>
      <c r="I99" s="12"/>
      <c r="J99" s="12" t="s">
        <v>45</v>
      </c>
    </row>
    <row r="100" customFormat="false" ht="32.8" hidden="false" customHeight="false" outlineLevel="0" collapsed="false">
      <c r="A100" s="12" t="s">
        <v>362</v>
      </c>
      <c r="B100" s="12" t="s">
        <v>363</v>
      </c>
      <c r="C100" s="12" t="s">
        <v>364</v>
      </c>
      <c r="D100" s="12" t="s">
        <v>365</v>
      </c>
      <c r="E100" s="12" t="s">
        <v>366</v>
      </c>
      <c r="F100" s="12" t="s">
        <v>367</v>
      </c>
      <c r="G100" s="12" t="s">
        <v>43</v>
      </c>
      <c r="H100" s="12" t="s">
        <v>44</v>
      </c>
      <c r="I100" s="12"/>
      <c r="J100" s="12" t="s">
        <v>45</v>
      </c>
    </row>
    <row r="101" customFormat="false" ht="32.8" hidden="false" customHeight="false" outlineLevel="0" collapsed="false">
      <c r="A101" s="12" t="s">
        <v>368</v>
      </c>
      <c r="B101" s="12" t="s">
        <v>302</v>
      </c>
      <c r="C101" s="12" t="s">
        <v>364</v>
      </c>
      <c r="D101" s="12" t="s">
        <v>303</v>
      </c>
      <c r="E101" s="12" t="s">
        <v>369</v>
      </c>
      <c r="F101" s="12" t="s">
        <v>370</v>
      </c>
      <c r="G101" s="12" t="s">
        <v>43</v>
      </c>
      <c r="H101" s="12" t="s">
        <v>44</v>
      </c>
      <c r="I101" s="12"/>
      <c r="J101" s="12" t="s">
        <v>45</v>
      </c>
    </row>
    <row r="102" customFormat="false" ht="32.8" hidden="false" customHeight="false" outlineLevel="0" collapsed="false">
      <c r="A102" s="12" t="s">
        <v>371</v>
      </c>
      <c r="B102" s="12" t="s">
        <v>302</v>
      </c>
      <c r="C102" s="12" t="s">
        <v>364</v>
      </c>
      <c r="D102" s="12" t="s">
        <v>303</v>
      </c>
      <c r="E102" s="12" t="s">
        <v>372</v>
      </c>
      <c r="F102" s="12" t="s">
        <v>373</v>
      </c>
      <c r="G102" s="12" t="s">
        <v>374</v>
      </c>
      <c r="H102" s="12" t="s">
        <v>64</v>
      </c>
      <c r="I102" s="12" t="s">
        <v>375</v>
      </c>
      <c r="J102" s="12" t="s">
        <v>45</v>
      </c>
    </row>
    <row r="103" customFormat="false" ht="32.8" hidden="false" customHeight="false" outlineLevel="0" collapsed="false">
      <c r="A103" s="12" t="s">
        <v>376</v>
      </c>
      <c r="B103" s="12" t="s">
        <v>302</v>
      </c>
      <c r="C103" s="12" t="s">
        <v>364</v>
      </c>
      <c r="D103" s="12" t="s">
        <v>303</v>
      </c>
      <c r="E103" s="12" t="s">
        <v>377</v>
      </c>
      <c r="F103" s="12" t="s">
        <v>42</v>
      </c>
      <c r="G103" s="12" t="s">
        <v>43</v>
      </c>
      <c r="H103" s="12" t="s">
        <v>44</v>
      </c>
      <c r="I103" s="12"/>
      <c r="J103" s="12" t="s">
        <v>45</v>
      </c>
    </row>
    <row r="104" customFormat="false" ht="32.8" hidden="false" customHeight="false" outlineLevel="0" collapsed="false">
      <c r="A104" s="12" t="s">
        <v>378</v>
      </c>
      <c r="B104" s="12" t="s">
        <v>302</v>
      </c>
      <c r="C104" s="12" t="s">
        <v>364</v>
      </c>
      <c r="D104" s="12" t="s">
        <v>303</v>
      </c>
      <c r="E104" s="12" t="s">
        <v>379</v>
      </c>
      <c r="F104" s="12" t="s">
        <v>380</v>
      </c>
      <c r="G104" s="12" t="s">
        <v>43</v>
      </c>
      <c r="H104" s="12" t="s">
        <v>44</v>
      </c>
      <c r="I104" s="12"/>
      <c r="J104" s="12" t="s">
        <v>45</v>
      </c>
    </row>
    <row r="105" customFormat="false" ht="32.8" hidden="false" customHeight="false" outlineLevel="0" collapsed="false">
      <c r="A105" s="12" t="s">
        <v>381</v>
      </c>
      <c r="B105" s="12" t="s">
        <v>302</v>
      </c>
      <c r="C105" s="12" t="s">
        <v>364</v>
      </c>
      <c r="D105" s="12" t="s">
        <v>303</v>
      </c>
      <c r="E105" s="12" t="s">
        <v>382</v>
      </c>
      <c r="F105" s="12" t="s">
        <v>54</v>
      </c>
      <c r="G105" s="12" t="s">
        <v>43</v>
      </c>
      <c r="H105" s="12" t="s">
        <v>44</v>
      </c>
      <c r="I105" s="12"/>
      <c r="J105" s="12" t="s">
        <v>45</v>
      </c>
    </row>
    <row r="106" customFormat="false" ht="32.8" hidden="false" customHeight="false" outlineLevel="0" collapsed="false">
      <c r="A106" s="12" t="s">
        <v>383</v>
      </c>
      <c r="B106" s="12" t="s">
        <v>204</v>
      </c>
      <c r="C106" s="12" t="s">
        <v>364</v>
      </c>
      <c r="D106" s="12" t="s">
        <v>205</v>
      </c>
      <c r="E106" s="12" t="s">
        <v>384</v>
      </c>
      <c r="F106" s="12" t="s">
        <v>385</v>
      </c>
      <c r="G106" s="12" t="s">
        <v>43</v>
      </c>
      <c r="H106" s="12" t="s">
        <v>44</v>
      </c>
      <c r="I106" s="12"/>
      <c r="J106" s="12" t="s">
        <v>45</v>
      </c>
    </row>
    <row r="107" customFormat="false" ht="32.8" hidden="false" customHeight="false" outlineLevel="0" collapsed="false">
      <c r="A107" s="12" t="s">
        <v>386</v>
      </c>
      <c r="B107" s="12" t="s">
        <v>331</v>
      </c>
      <c r="C107" s="12" t="s">
        <v>364</v>
      </c>
      <c r="D107" s="12" t="s">
        <v>332</v>
      </c>
      <c r="E107" s="12" t="s">
        <v>387</v>
      </c>
      <c r="F107" s="12" t="s">
        <v>388</v>
      </c>
      <c r="G107" s="12" t="s">
        <v>43</v>
      </c>
      <c r="H107" s="12" t="s">
        <v>44</v>
      </c>
      <c r="I107" s="12"/>
      <c r="J107" s="12" t="s">
        <v>45</v>
      </c>
    </row>
    <row r="108" customFormat="false" ht="32.8" hidden="false" customHeight="false" outlineLevel="0" collapsed="false">
      <c r="A108" s="12" t="s">
        <v>389</v>
      </c>
      <c r="B108" s="12" t="s">
        <v>363</v>
      </c>
      <c r="C108" s="12" t="s">
        <v>364</v>
      </c>
      <c r="D108" s="12" t="s">
        <v>365</v>
      </c>
      <c r="E108" s="12" t="s">
        <v>390</v>
      </c>
      <c r="F108" s="12" t="s">
        <v>173</v>
      </c>
      <c r="G108" s="12" t="s">
        <v>43</v>
      </c>
      <c r="H108" s="12" t="s">
        <v>44</v>
      </c>
      <c r="I108" s="12"/>
      <c r="J108" s="12" t="s">
        <v>45</v>
      </c>
    </row>
    <row r="109" customFormat="false" ht="43.25" hidden="false" customHeight="false" outlineLevel="0" collapsed="false">
      <c r="A109" s="12" t="s">
        <v>391</v>
      </c>
      <c r="B109" s="12" t="s">
        <v>339</v>
      </c>
      <c r="C109" s="12" t="s">
        <v>364</v>
      </c>
      <c r="D109" s="12" t="s">
        <v>340</v>
      </c>
      <c r="E109" s="12" t="s">
        <v>392</v>
      </c>
      <c r="F109" s="12" t="s">
        <v>190</v>
      </c>
      <c r="G109" s="12" t="s">
        <v>43</v>
      </c>
      <c r="H109" s="12" t="s">
        <v>44</v>
      </c>
      <c r="I109" s="12"/>
      <c r="J109" s="12" t="s">
        <v>45</v>
      </c>
    </row>
    <row r="110" customFormat="false" ht="32.8" hidden="false" customHeight="false" outlineLevel="0" collapsed="false">
      <c r="A110" s="12" t="s">
        <v>393</v>
      </c>
      <c r="B110" s="12" t="s">
        <v>394</v>
      </c>
      <c r="C110" s="12" t="s">
        <v>364</v>
      </c>
      <c r="D110" s="12" t="s">
        <v>395</v>
      </c>
      <c r="E110" s="12" t="s">
        <v>396</v>
      </c>
      <c r="F110" s="12" t="s">
        <v>397</v>
      </c>
      <c r="G110" s="12" t="s">
        <v>398</v>
      </c>
      <c r="H110" s="12" t="s">
        <v>64</v>
      </c>
      <c r="I110" s="12" t="s">
        <v>399</v>
      </c>
      <c r="J110" s="12" t="s">
        <v>45</v>
      </c>
    </row>
    <row r="111" customFormat="false" ht="32.8" hidden="false" customHeight="false" outlineLevel="0" collapsed="false">
      <c r="A111" s="12" t="s">
        <v>400</v>
      </c>
      <c r="B111" s="12" t="s">
        <v>394</v>
      </c>
      <c r="C111" s="12" t="s">
        <v>364</v>
      </c>
      <c r="D111" s="12" t="s">
        <v>395</v>
      </c>
      <c r="E111" s="12" t="s">
        <v>401</v>
      </c>
      <c r="F111" s="12" t="s">
        <v>402</v>
      </c>
      <c r="G111" s="12" t="s">
        <v>403</v>
      </c>
      <c r="H111" s="12" t="s">
        <v>64</v>
      </c>
      <c r="I111" s="12" t="s">
        <v>399</v>
      </c>
      <c r="J111" s="12" t="s">
        <v>45</v>
      </c>
    </row>
    <row r="112" customFormat="false" ht="32.8" hidden="false" customHeight="false" outlineLevel="0" collapsed="false">
      <c r="A112" s="12" t="s">
        <v>404</v>
      </c>
      <c r="B112" s="12" t="s">
        <v>394</v>
      </c>
      <c r="C112" s="12" t="s">
        <v>364</v>
      </c>
      <c r="D112" s="12" t="s">
        <v>395</v>
      </c>
      <c r="E112" s="12" t="s">
        <v>405</v>
      </c>
      <c r="F112" s="12" t="s">
        <v>406</v>
      </c>
      <c r="G112" s="12" t="s">
        <v>407</v>
      </c>
      <c r="H112" s="12" t="s">
        <v>64</v>
      </c>
      <c r="I112" s="12" t="s">
        <v>399</v>
      </c>
      <c r="J112" s="12" t="s">
        <v>45</v>
      </c>
    </row>
    <row r="113" customFormat="false" ht="43.25" hidden="false" customHeight="false" outlineLevel="0" collapsed="false">
      <c r="A113" s="12" t="s">
        <v>408</v>
      </c>
      <c r="B113" s="12" t="s">
        <v>339</v>
      </c>
      <c r="C113" s="12" t="s">
        <v>364</v>
      </c>
      <c r="D113" s="12" t="s">
        <v>340</v>
      </c>
      <c r="E113" s="12" t="s">
        <v>409</v>
      </c>
      <c r="F113" s="12" t="s">
        <v>342</v>
      </c>
      <c r="G113" s="12" t="s">
        <v>410</v>
      </c>
      <c r="H113" s="12" t="s">
        <v>64</v>
      </c>
      <c r="I113" s="12" t="s">
        <v>344</v>
      </c>
      <c r="J113" s="12" t="s">
        <v>45</v>
      </c>
    </row>
    <row r="114" customFormat="false" ht="43.25" hidden="false" customHeight="false" outlineLevel="0" collapsed="false">
      <c r="A114" s="12" t="s">
        <v>411</v>
      </c>
      <c r="B114" s="12" t="s">
        <v>412</v>
      </c>
      <c r="C114" s="12" t="s">
        <v>413</v>
      </c>
      <c r="D114" s="12" t="s">
        <v>414</v>
      </c>
      <c r="E114" s="12" t="s">
        <v>415</v>
      </c>
      <c r="F114" s="12" t="s">
        <v>416</v>
      </c>
      <c r="G114" s="12" t="s">
        <v>43</v>
      </c>
      <c r="H114" s="12" t="s">
        <v>44</v>
      </c>
      <c r="I114" s="12"/>
      <c r="J114" s="12" t="s">
        <v>45</v>
      </c>
    </row>
    <row r="115" customFormat="false" ht="43.25" hidden="false" customHeight="false" outlineLevel="0" collapsed="false">
      <c r="A115" s="12" t="s">
        <v>417</v>
      </c>
      <c r="B115" s="12" t="s">
        <v>412</v>
      </c>
      <c r="C115" s="12" t="s">
        <v>413</v>
      </c>
      <c r="D115" s="12" t="s">
        <v>414</v>
      </c>
      <c r="E115" s="12" t="s">
        <v>418</v>
      </c>
      <c r="F115" s="12" t="s">
        <v>419</v>
      </c>
      <c r="G115" s="12" t="s">
        <v>43</v>
      </c>
      <c r="H115" s="12" t="s">
        <v>44</v>
      </c>
      <c r="I115" s="12"/>
      <c r="J115" s="12" t="s">
        <v>45</v>
      </c>
    </row>
    <row r="116" customFormat="false" ht="43.25" hidden="false" customHeight="false" outlineLevel="0" collapsed="false">
      <c r="A116" s="12" t="s">
        <v>420</v>
      </c>
      <c r="B116" s="12" t="s">
        <v>412</v>
      </c>
      <c r="C116" s="12" t="s">
        <v>413</v>
      </c>
      <c r="D116" s="12" t="s">
        <v>414</v>
      </c>
      <c r="E116" s="12" t="s">
        <v>421</v>
      </c>
      <c r="F116" s="12" t="s">
        <v>422</v>
      </c>
      <c r="G116" s="12" t="s">
        <v>43</v>
      </c>
      <c r="H116" s="12" t="s">
        <v>44</v>
      </c>
      <c r="I116" s="12"/>
      <c r="J116" s="12" t="s">
        <v>45</v>
      </c>
    </row>
    <row r="117" customFormat="false" ht="43.25" hidden="false" customHeight="false" outlineLevel="0" collapsed="false">
      <c r="A117" s="12" t="s">
        <v>423</v>
      </c>
      <c r="B117" s="12" t="s">
        <v>412</v>
      </c>
      <c r="C117" s="12" t="s">
        <v>413</v>
      </c>
      <c r="D117" s="12" t="s">
        <v>414</v>
      </c>
      <c r="E117" s="12" t="s">
        <v>424</v>
      </c>
      <c r="F117" s="12" t="s">
        <v>425</v>
      </c>
      <c r="G117" s="12" t="s">
        <v>43</v>
      </c>
      <c r="H117" s="12" t="s">
        <v>44</v>
      </c>
      <c r="I117" s="12"/>
      <c r="J117" s="12" t="s">
        <v>45</v>
      </c>
    </row>
    <row r="118" customFormat="false" ht="43.25" hidden="false" customHeight="false" outlineLevel="0" collapsed="false">
      <c r="A118" s="12" t="s">
        <v>426</v>
      </c>
      <c r="B118" s="12" t="s">
        <v>412</v>
      </c>
      <c r="C118" s="12" t="s">
        <v>413</v>
      </c>
      <c r="D118" s="12" t="s">
        <v>414</v>
      </c>
      <c r="E118" s="12" t="s">
        <v>161</v>
      </c>
      <c r="F118" s="12" t="s">
        <v>427</v>
      </c>
      <c r="G118" s="12" t="s">
        <v>43</v>
      </c>
      <c r="H118" s="12" t="s">
        <v>44</v>
      </c>
      <c r="I118" s="12"/>
      <c r="J118" s="12" t="s">
        <v>45</v>
      </c>
    </row>
    <row r="119" customFormat="false" ht="43.25" hidden="false" customHeight="false" outlineLevel="0" collapsed="false">
      <c r="A119" s="12" t="s">
        <v>428</v>
      </c>
      <c r="B119" s="12" t="s">
        <v>412</v>
      </c>
      <c r="C119" s="12" t="s">
        <v>413</v>
      </c>
      <c r="D119" s="12" t="s">
        <v>414</v>
      </c>
      <c r="E119" s="12" t="s">
        <v>429</v>
      </c>
      <c r="F119" s="12" t="s">
        <v>430</v>
      </c>
      <c r="G119" s="12" t="s">
        <v>43</v>
      </c>
      <c r="H119" s="12" t="s">
        <v>44</v>
      </c>
      <c r="I119" s="12"/>
      <c r="J119" s="12" t="s">
        <v>45</v>
      </c>
    </row>
    <row r="120" customFormat="false" ht="43.25" hidden="false" customHeight="false" outlineLevel="0" collapsed="false">
      <c r="A120" s="12" t="s">
        <v>431</v>
      </c>
      <c r="B120" s="12" t="s">
        <v>412</v>
      </c>
      <c r="C120" s="12" t="s">
        <v>413</v>
      </c>
      <c r="D120" s="12" t="s">
        <v>414</v>
      </c>
      <c r="E120" s="12" t="s">
        <v>432</v>
      </c>
      <c r="F120" s="12" t="s">
        <v>433</v>
      </c>
      <c r="G120" s="12" t="s">
        <v>43</v>
      </c>
      <c r="H120" s="12" t="s">
        <v>44</v>
      </c>
      <c r="I120" s="12"/>
      <c r="J120" s="12" t="s">
        <v>45</v>
      </c>
    </row>
    <row r="121" customFormat="false" ht="43.25" hidden="false" customHeight="false" outlineLevel="0" collapsed="false">
      <c r="A121" s="12" t="s">
        <v>434</v>
      </c>
      <c r="B121" s="12" t="s">
        <v>412</v>
      </c>
      <c r="C121" s="12" t="s">
        <v>413</v>
      </c>
      <c r="D121" s="12" t="s">
        <v>414</v>
      </c>
      <c r="E121" s="12" t="s">
        <v>435</v>
      </c>
      <c r="F121" s="12" t="s">
        <v>436</v>
      </c>
      <c r="G121" s="12" t="s">
        <v>43</v>
      </c>
      <c r="H121" s="12" t="s">
        <v>44</v>
      </c>
      <c r="I121" s="12"/>
      <c r="J121" s="12" t="s">
        <v>45</v>
      </c>
    </row>
    <row r="122" customFormat="false" ht="43.25" hidden="false" customHeight="false" outlineLevel="0" collapsed="false">
      <c r="A122" s="12" t="s">
        <v>437</v>
      </c>
      <c r="B122" s="12" t="s">
        <v>412</v>
      </c>
      <c r="C122" s="12" t="s">
        <v>413</v>
      </c>
      <c r="D122" s="12" t="s">
        <v>414</v>
      </c>
      <c r="E122" s="12" t="s">
        <v>438</v>
      </c>
      <c r="F122" s="12" t="s">
        <v>439</v>
      </c>
      <c r="G122" s="12" t="s">
        <v>43</v>
      </c>
      <c r="H122" s="12" t="s">
        <v>44</v>
      </c>
      <c r="I122" s="12"/>
      <c r="J122" s="12" t="s">
        <v>45</v>
      </c>
    </row>
    <row r="123" customFormat="false" ht="43.25" hidden="false" customHeight="false" outlineLevel="0" collapsed="false">
      <c r="A123" s="12" t="s">
        <v>440</v>
      </c>
      <c r="B123" s="12" t="s">
        <v>412</v>
      </c>
      <c r="C123" s="12" t="s">
        <v>413</v>
      </c>
      <c r="D123" s="12" t="s">
        <v>414</v>
      </c>
      <c r="E123" s="12" t="s">
        <v>441</v>
      </c>
      <c r="F123" s="12" t="s">
        <v>173</v>
      </c>
      <c r="G123" s="12" t="s">
        <v>43</v>
      </c>
      <c r="H123" s="12" t="s">
        <v>44</v>
      </c>
      <c r="I123" s="12"/>
      <c r="J123" s="12" t="s">
        <v>45</v>
      </c>
    </row>
    <row r="124" customFormat="false" ht="43.25" hidden="false" customHeight="false" outlineLevel="0" collapsed="false">
      <c r="A124" s="12" t="s">
        <v>442</v>
      </c>
      <c r="B124" s="12" t="s">
        <v>412</v>
      </c>
      <c r="C124" s="12" t="s">
        <v>413</v>
      </c>
      <c r="D124" s="12" t="s">
        <v>414</v>
      </c>
      <c r="E124" s="12" t="s">
        <v>443</v>
      </c>
      <c r="F124" s="12" t="s">
        <v>444</v>
      </c>
      <c r="G124" s="12" t="s">
        <v>43</v>
      </c>
      <c r="H124" s="12" t="s">
        <v>44</v>
      </c>
      <c r="I124" s="12"/>
      <c r="J124" s="12" t="s">
        <v>45</v>
      </c>
    </row>
    <row r="125" customFormat="false" ht="43.25" hidden="false" customHeight="false" outlineLevel="0" collapsed="false">
      <c r="A125" s="12" t="s">
        <v>445</v>
      </c>
      <c r="B125" s="12" t="s">
        <v>412</v>
      </c>
      <c r="C125" s="12" t="s">
        <v>413</v>
      </c>
      <c r="D125" s="12" t="s">
        <v>414</v>
      </c>
      <c r="E125" s="12" t="s">
        <v>446</v>
      </c>
      <c r="F125" s="12" t="s">
        <v>447</v>
      </c>
      <c r="G125" s="12" t="s">
        <v>43</v>
      </c>
      <c r="H125" s="12" t="s">
        <v>44</v>
      </c>
      <c r="I125" s="12"/>
      <c r="J125" s="12" t="s">
        <v>45</v>
      </c>
    </row>
    <row r="126" customFormat="false" ht="43.25" hidden="false" customHeight="false" outlineLevel="0" collapsed="false">
      <c r="A126" s="12" t="s">
        <v>448</v>
      </c>
      <c r="B126" s="12" t="s">
        <v>412</v>
      </c>
      <c r="C126" s="12" t="s">
        <v>413</v>
      </c>
      <c r="D126" s="12" t="s">
        <v>414</v>
      </c>
      <c r="E126" s="12" t="s">
        <v>449</v>
      </c>
      <c r="F126" s="12" t="s">
        <v>444</v>
      </c>
      <c r="G126" s="12" t="s">
        <v>43</v>
      </c>
      <c r="H126" s="12" t="s">
        <v>44</v>
      </c>
      <c r="I126" s="12"/>
      <c r="J126" s="12" t="s">
        <v>45</v>
      </c>
    </row>
    <row r="127" customFormat="false" ht="43.25" hidden="false" customHeight="false" outlineLevel="0" collapsed="false">
      <c r="A127" s="12" t="s">
        <v>450</v>
      </c>
      <c r="B127" s="12" t="s">
        <v>412</v>
      </c>
      <c r="C127" s="12" t="s">
        <v>413</v>
      </c>
      <c r="D127" s="12" t="s">
        <v>414</v>
      </c>
      <c r="E127" s="12" t="s">
        <v>169</v>
      </c>
      <c r="F127" s="12" t="s">
        <v>451</v>
      </c>
      <c r="G127" s="12" t="s">
        <v>43</v>
      </c>
      <c r="H127" s="12" t="s">
        <v>44</v>
      </c>
      <c r="I127" s="12"/>
      <c r="J127" s="12" t="s">
        <v>45</v>
      </c>
    </row>
    <row r="128" customFormat="false" ht="43.25" hidden="false" customHeight="false" outlineLevel="0" collapsed="false">
      <c r="A128" s="12" t="s">
        <v>452</v>
      </c>
      <c r="B128" s="12" t="s">
        <v>412</v>
      </c>
      <c r="C128" s="12" t="s">
        <v>413</v>
      </c>
      <c r="D128" s="12" t="s">
        <v>414</v>
      </c>
      <c r="E128" s="12" t="s">
        <v>453</v>
      </c>
      <c r="F128" s="12" t="s">
        <v>454</v>
      </c>
      <c r="G128" s="12" t="s">
        <v>455</v>
      </c>
      <c r="H128" s="12" t="s">
        <v>64</v>
      </c>
      <c r="I128" s="12" t="s">
        <v>456</v>
      </c>
      <c r="J128" s="12" t="s">
        <v>45</v>
      </c>
    </row>
    <row r="129" customFormat="false" ht="43.25" hidden="false" customHeight="false" outlineLevel="0" collapsed="false">
      <c r="A129" s="12" t="s">
        <v>457</v>
      </c>
      <c r="B129" s="12" t="s">
        <v>458</v>
      </c>
      <c r="C129" s="12" t="s">
        <v>413</v>
      </c>
      <c r="D129" s="12" t="s">
        <v>459</v>
      </c>
      <c r="E129" s="12" t="s">
        <v>460</v>
      </c>
      <c r="F129" s="12" t="s">
        <v>461</v>
      </c>
      <c r="G129" s="12" t="s">
        <v>43</v>
      </c>
      <c r="H129" s="12" t="s">
        <v>44</v>
      </c>
      <c r="I129" s="12"/>
      <c r="J129" s="12" t="s">
        <v>45</v>
      </c>
    </row>
    <row r="130" customFormat="false" ht="43.25" hidden="false" customHeight="false" outlineLevel="0" collapsed="false">
      <c r="A130" s="12" t="s">
        <v>462</v>
      </c>
      <c r="B130" s="12" t="s">
        <v>458</v>
      </c>
      <c r="C130" s="12" t="s">
        <v>413</v>
      </c>
      <c r="D130" s="12" t="s">
        <v>459</v>
      </c>
      <c r="E130" s="12" t="s">
        <v>463</v>
      </c>
      <c r="F130" s="12" t="s">
        <v>464</v>
      </c>
      <c r="G130" s="12" t="s">
        <v>43</v>
      </c>
      <c r="H130" s="12" t="s">
        <v>44</v>
      </c>
      <c r="I130" s="12"/>
      <c r="J130" s="12" t="s">
        <v>45</v>
      </c>
    </row>
    <row r="131" customFormat="false" ht="43.25" hidden="false" customHeight="false" outlineLevel="0" collapsed="false">
      <c r="A131" s="12" t="s">
        <v>465</v>
      </c>
      <c r="B131" s="12" t="s">
        <v>458</v>
      </c>
      <c r="C131" s="12" t="s">
        <v>413</v>
      </c>
      <c r="D131" s="12" t="s">
        <v>459</v>
      </c>
      <c r="E131" s="12" t="s">
        <v>466</v>
      </c>
      <c r="F131" s="12" t="s">
        <v>461</v>
      </c>
      <c r="G131" s="12" t="s">
        <v>43</v>
      </c>
      <c r="H131" s="12" t="s">
        <v>44</v>
      </c>
      <c r="I131" s="12"/>
      <c r="J131" s="12" t="s">
        <v>45</v>
      </c>
    </row>
    <row r="132" customFormat="false" ht="43.25" hidden="false" customHeight="false" outlineLevel="0" collapsed="false">
      <c r="A132" s="12" t="s">
        <v>467</v>
      </c>
      <c r="B132" s="12" t="s">
        <v>458</v>
      </c>
      <c r="C132" s="12" t="s">
        <v>413</v>
      </c>
      <c r="D132" s="12" t="s">
        <v>459</v>
      </c>
      <c r="E132" s="12" t="s">
        <v>468</v>
      </c>
      <c r="F132" s="12" t="s">
        <v>469</v>
      </c>
      <c r="G132" s="12" t="s">
        <v>43</v>
      </c>
      <c r="H132" s="12" t="s">
        <v>44</v>
      </c>
      <c r="I132" s="12"/>
      <c r="J132" s="12" t="s">
        <v>45</v>
      </c>
    </row>
    <row r="133" customFormat="false" ht="32.8" hidden="false" customHeight="false" outlineLevel="0" collapsed="false">
      <c r="A133" s="12" t="s">
        <v>470</v>
      </c>
      <c r="B133" s="12" t="s">
        <v>471</v>
      </c>
      <c r="C133" s="12" t="s">
        <v>413</v>
      </c>
      <c r="D133" s="12" t="s">
        <v>472</v>
      </c>
      <c r="E133" s="12" t="s">
        <v>473</v>
      </c>
      <c r="F133" s="12" t="s">
        <v>474</v>
      </c>
      <c r="G133" s="12" t="s">
        <v>43</v>
      </c>
      <c r="H133" s="12" t="s">
        <v>44</v>
      </c>
      <c r="I133" s="12"/>
      <c r="J133" s="12" t="s">
        <v>45</v>
      </c>
    </row>
    <row r="134" customFormat="false" ht="32.8" hidden="false" customHeight="false" outlineLevel="0" collapsed="false">
      <c r="A134" s="12" t="s">
        <v>475</v>
      </c>
      <c r="B134" s="12" t="s">
        <v>471</v>
      </c>
      <c r="C134" s="12" t="s">
        <v>413</v>
      </c>
      <c r="D134" s="12" t="s">
        <v>472</v>
      </c>
      <c r="E134" s="12" t="s">
        <v>476</v>
      </c>
      <c r="F134" s="12" t="s">
        <v>477</v>
      </c>
      <c r="G134" s="12" t="s">
        <v>43</v>
      </c>
      <c r="H134" s="12" t="s">
        <v>44</v>
      </c>
      <c r="I134" s="12"/>
      <c r="J134" s="12" t="s">
        <v>45</v>
      </c>
    </row>
    <row r="135" customFormat="false" ht="32.8" hidden="false" customHeight="false" outlineLevel="0" collapsed="false">
      <c r="A135" s="12" t="s">
        <v>478</v>
      </c>
      <c r="B135" s="12" t="s">
        <v>471</v>
      </c>
      <c r="C135" s="12" t="s">
        <v>413</v>
      </c>
      <c r="D135" s="12" t="s">
        <v>472</v>
      </c>
      <c r="E135" s="12" t="s">
        <v>479</v>
      </c>
      <c r="F135" s="12" t="s">
        <v>480</v>
      </c>
      <c r="G135" s="12" t="s">
        <v>43</v>
      </c>
      <c r="H135" s="12" t="s">
        <v>44</v>
      </c>
      <c r="I135" s="12"/>
      <c r="J135" s="12" t="s">
        <v>45</v>
      </c>
    </row>
    <row r="136" customFormat="false" ht="32.8" hidden="false" customHeight="false" outlineLevel="0" collapsed="false">
      <c r="A136" s="12" t="s">
        <v>481</v>
      </c>
      <c r="B136" s="12" t="s">
        <v>346</v>
      </c>
      <c r="C136" s="12" t="s">
        <v>413</v>
      </c>
      <c r="D136" s="12" t="s">
        <v>347</v>
      </c>
      <c r="E136" s="12" t="s">
        <v>482</v>
      </c>
      <c r="F136" s="12" t="s">
        <v>483</v>
      </c>
      <c r="G136" s="12" t="s">
        <v>43</v>
      </c>
      <c r="H136" s="12" t="s">
        <v>44</v>
      </c>
      <c r="I136" s="12"/>
      <c r="J136" s="12" t="s">
        <v>45</v>
      </c>
    </row>
    <row r="137" customFormat="false" ht="32.8" hidden="false" customHeight="false" outlineLevel="0" collapsed="false">
      <c r="A137" s="12" t="s">
        <v>484</v>
      </c>
      <c r="B137" s="12" t="s">
        <v>346</v>
      </c>
      <c r="C137" s="12" t="s">
        <v>413</v>
      </c>
      <c r="D137" s="12" t="s">
        <v>347</v>
      </c>
      <c r="E137" s="12" t="s">
        <v>485</v>
      </c>
      <c r="F137" s="12" t="s">
        <v>486</v>
      </c>
      <c r="G137" s="12" t="s">
        <v>43</v>
      </c>
      <c r="H137" s="12" t="s">
        <v>44</v>
      </c>
      <c r="I137" s="12"/>
      <c r="J137" s="12" t="s">
        <v>45</v>
      </c>
    </row>
    <row r="138" customFormat="false" ht="43.25" hidden="false" customHeight="false" outlineLevel="0" collapsed="false">
      <c r="A138" s="12" t="s">
        <v>487</v>
      </c>
      <c r="B138" s="12" t="s">
        <v>339</v>
      </c>
      <c r="C138" s="12" t="s">
        <v>413</v>
      </c>
      <c r="D138" s="12" t="s">
        <v>340</v>
      </c>
      <c r="E138" s="12" t="s">
        <v>488</v>
      </c>
      <c r="F138" s="12" t="s">
        <v>190</v>
      </c>
      <c r="G138" s="12" t="s">
        <v>43</v>
      </c>
      <c r="H138" s="12" t="s">
        <v>44</v>
      </c>
      <c r="I138" s="12"/>
      <c r="J138" s="12" t="s">
        <v>45</v>
      </c>
    </row>
    <row r="139" customFormat="false" ht="32.8" hidden="false" customHeight="false" outlineLevel="0" collapsed="false">
      <c r="A139" s="12" t="s">
        <v>489</v>
      </c>
      <c r="B139" s="12" t="s">
        <v>490</v>
      </c>
      <c r="C139" s="12" t="s">
        <v>413</v>
      </c>
      <c r="D139" s="12" t="s">
        <v>491</v>
      </c>
      <c r="E139" s="12" t="s">
        <v>492</v>
      </c>
      <c r="F139" s="12" t="s">
        <v>493</v>
      </c>
      <c r="G139" s="12" t="s">
        <v>43</v>
      </c>
      <c r="H139" s="12" t="s">
        <v>44</v>
      </c>
      <c r="I139" s="12"/>
      <c r="J139" s="12" t="s">
        <v>45</v>
      </c>
    </row>
    <row r="140" customFormat="false" ht="32.8" hidden="false" customHeight="false" outlineLevel="0" collapsed="false">
      <c r="A140" s="12" t="s">
        <v>494</v>
      </c>
      <c r="B140" s="12" t="s">
        <v>490</v>
      </c>
      <c r="C140" s="12" t="s">
        <v>413</v>
      </c>
      <c r="D140" s="12" t="s">
        <v>491</v>
      </c>
      <c r="E140" s="12" t="s">
        <v>495</v>
      </c>
      <c r="F140" s="12" t="s">
        <v>496</v>
      </c>
      <c r="G140" s="12" t="s">
        <v>43</v>
      </c>
      <c r="H140" s="12" t="s">
        <v>44</v>
      </c>
      <c r="I140" s="12"/>
      <c r="J140" s="12" t="s">
        <v>45</v>
      </c>
    </row>
    <row r="141" customFormat="false" ht="32.8" hidden="false" customHeight="false" outlineLevel="0" collapsed="false">
      <c r="A141" s="12" t="s">
        <v>497</v>
      </c>
      <c r="B141" s="12" t="s">
        <v>490</v>
      </c>
      <c r="C141" s="12" t="s">
        <v>413</v>
      </c>
      <c r="D141" s="12" t="s">
        <v>491</v>
      </c>
      <c r="E141" s="12" t="s">
        <v>498</v>
      </c>
      <c r="F141" s="12" t="s">
        <v>499</v>
      </c>
      <c r="G141" s="12" t="s">
        <v>43</v>
      </c>
      <c r="H141" s="12" t="s">
        <v>44</v>
      </c>
      <c r="I141" s="12"/>
      <c r="J141" s="12" t="s">
        <v>45</v>
      </c>
    </row>
    <row r="142" customFormat="false" ht="32.8" hidden="false" customHeight="false" outlineLevel="0" collapsed="false">
      <c r="A142" s="12" t="s">
        <v>500</v>
      </c>
      <c r="B142" s="12" t="s">
        <v>490</v>
      </c>
      <c r="C142" s="12" t="s">
        <v>413</v>
      </c>
      <c r="D142" s="12" t="s">
        <v>491</v>
      </c>
      <c r="E142" s="12" t="s">
        <v>189</v>
      </c>
      <c r="F142" s="12" t="s">
        <v>190</v>
      </c>
      <c r="G142" s="12" t="s">
        <v>43</v>
      </c>
      <c r="H142" s="12" t="s">
        <v>44</v>
      </c>
      <c r="I142" s="12"/>
      <c r="J142" s="12" t="s">
        <v>45</v>
      </c>
    </row>
    <row r="143" customFormat="false" ht="32.8" hidden="false" customHeight="false" outlineLevel="0" collapsed="false">
      <c r="A143" s="12" t="s">
        <v>501</v>
      </c>
      <c r="B143" s="12" t="s">
        <v>502</v>
      </c>
      <c r="C143" s="12" t="s">
        <v>503</v>
      </c>
      <c r="D143" s="12" t="s">
        <v>504</v>
      </c>
      <c r="E143" s="12" t="s">
        <v>505</v>
      </c>
      <c r="F143" s="12" t="s">
        <v>506</v>
      </c>
      <c r="G143" s="12" t="s">
        <v>507</v>
      </c>
      <c r="H143" s="12" t="s">
        <v>209</v>
      </c>
      <c r="I143" s="12" t="s">
        <v>210</v>
      </c>
      <c r="J143" s="12" t="s">
        <v>45</v>
      </c>
    </row>
    <row r="144" customFormat="false" ht="32.8" hidden="false" customHeight="false" outlineLevel="0" collapsed="false">
      <c r="A144" s="12" t="s">
        <v>508</v>
      </c>
      <c r="B144" s="12" t="s">
        <v>502</v>
      </c>
      <c r="C144" s="12" t="s">
        <v>503</v>
      </c>
      <c r="D144" s="12" t="s">
        <v>504</v>
      </c>
      <c r="E144" s="12" t="s">
        <v>509</v>
      </c>
      <c r="F144" s="12" t="s">
        <v>510</v>
      </c>
      <c r="G144" s="12" t="s">
        <v>507</v>
      </c>
      <c r="H144" s="12" t="s">
        <v>209</v>
      </c>
      <c r="I144" s="12" t="s">
        <v>210</v>
      </c>
      <c r="J144" s="12" t="s">
        <v>45</v>
      </c>
    </row>
    <row r="145" customFormat="false" ht="32.8" hidden="false" customHeight="false" outlineLevel="0" collapsed="false">
      <c r="A145" s="12" t="s">
        <v>511</v>
      </c>
      <c r="B145" s="12" t="s">
        <v>502</v>
      </c>
      <c r="C145" s="12" t="s">
        <v>503</v>
      </c>
      <c r="D145" s="12" t="s">
        <v>504</v>
      </c>
      <c r="E145" s="12" t="s">
        <v>512</v>
      </c>
      <c r="F145" s="12" t="s">
        <v>513</v>
      </c>
      <c r="G145" s="12" t="s">
        <v>507</v>
      </c>
      <c r="H145" s="12" t="s">
        <v>209</v>
      </c>
      <c r="I145" s="12" t="s">
        <v>210</v>
      </c>
      <c r="J145" s="12" t="s">
        <v>45</v>
      </c>
    </row>
    <row r="146" customFormat="false" ht="32.8" hidden="false" customHeight="false" outlineLevel="0" collapsed="false">
      <c r="A146" s="12" t="s">
        <v>514</v>
      </c>
      <c r="B146" s="12" t="s">
        <v>502</v>
      </c>
      <c r="C146" s="12" t="s">
        <v>503</v>
      </c>
      <c r="D146" s="12" t="s">
        <v>504</v>
      </c>
      <c r="E146" s="12" t="s">
        <v>515</v>
      </c>
      <c r="F146" s="12" t="s">
        <v>516</v>
      </c>
      <c r="G146" s="12" t="s">
        <v>507</v>
      </c>
      <c r="H146" s="12" t="s">
        <v>209</v>
      </c>
      <c r="I146" s="12" t="s">
        <v>210</v>
      </c>
      <c r="J146" s="12" t="s">
        <v>45</v>
      </c>
    </row>
    <row r="147" customFormat="false" ht="32.8" hidden="false" customHeight="false" outlineLevel="0" collapsed="false">
      <c r="A147" s="12" t="s">
        <v>517</v>
      </c>
      <c r="B147" s="12" t="s">
        <v>502</v>
      </c>
      <c r="C147" s="12" t="s">
        <v>503</v>
      </c>
      <c r="D147" s="12" t="s">
        <v>504</v>
      </c>
      <c r="E147" s="12" t="s">
        <v>518</v>
      </c>
      <c r="F147" s="12" t="s">
        <v>519</v>
      </c>
      <c r="G147" s="12" t="s">
        <v>507</v>
      </c>
      <c r="H147" s="12" t="s">
        <v>209</v>
      </c>
      <c r="I147" s="12" t="s">
        <v>210</v>
      </c>
      <c r="J147" s="12" t="s">
        <v>45</v>
      </c>
    </row>
    <row r="148" customFormat="false" ht="32.8" hidden="false" customHeight="false" outlineLevel="0" collapsed="false">
      <c r="A148" s="12" t="s">
        <v>520</v>
      </c>
      <c r="B148" s="12" t="s">
        <v>502</v>
      </c>
      <c r="C148" s="12" t="s">
        <v>503</v>
      </c>
      <c r="D148" s="12" t="s">
        <v>504</v>
      </c>
      <c r="E148" s="12" t="s">
        <v>521</v>
      </c>
      <c r="F148" s="12" t="s">
        <v>522</v>
      </c>
      <c r="G148" s="12" t="s">
        <v>507</v>
      </c>
      <c r="H148" s="12" t="s">
        <v>209</v>
      </c>
      <c r="I148" s="12" t="s">
        <v>210</v>
      </c>
      <c r="J148" s="12" t="s">
        <v>45</v>
      </c>
    </row>
    <row r="149" customFormat="false" ht="32.8" hidden="false" customHeight="false" outlineLevel="0" collapsed="false">
      <c r="A149" s="12" t="s">
        <v>523</v>
      </c>
      <c r="B149" s="12" t="s">
        <v>502</v>
      </c>
      <c r="C149" s="12" t="s">
        <v>503</v>
      </c>
      <c r="D149" s="12" t="s">
        <v>504</v>
      </c>
      <c r="E149" s="12" t="s">
        <v>524</v>
      </c>
      <c r="F149" s="12" t="s">
        <v>525</v>
      </c>
      <c r="G149" s="12" t="s">
        <v>507</v>
      </c>
      <c r="H149" s="12" t="s">
        <v>209</v>
      </c>
      <c r="I149" s="12" t="s">
        <v>210</v>
      </c>
      <c r="J149" s="12" t="s">
        <v>45</v>
      </c>
    </row>
    <row r="150" customFormat="false" ht="32.8" hidden="false" customHeight="false" outlineLevel="0" collapsed="false">
      <c r="A150" s="12" t="s">
        <v>526</v>
      </c>
      <c r="B150" s="12" t="s">
        <v>502</v>
      </c>
      <c r="C150" s="12" t="s">
        <v>503</v>
      </c>
      <c r="D150" s="12" t="s">
        <v>504</v>
      </c>
      <c r="E150" s="12" t="s">
        <v>527</v>
      </c>
      <c r="F150" s="12" t="s">
        <v>528</v>
      </c>
      <c r="G150" s="12" t="s">
        <v>507</v>
      </c>
      <c r="H150" s="12" t="s">
        <v>209</v>
      </c>
      <c r="I150" s="12" t="s">
        <v>210</v>
      </c>
      <c r="J150" s="12" t="s">
        <v>45</v>
      </c>
    </row>
  </sheetData>
  <autoFilter ref="A1:J150"/>
  <conditionalFormatting sqref="H2:H150">
    <cfRule type="cellIs" priority="2" operator="equal" aboveAverage="0" equalAverage="0" bottom="0" percent="0" rank="0" text="" dxfId="9">
      <formula>"PASS"</formula>
    </cfRule>
    <cfRule type="cellIs" priority="3" operator="equal" aboveAverage="0" equalAverage="0" bottom="0" percent="0" rank="0" text="" dxfId="10">
      <formula>"FAIL"</formula>
    </cfRule>
    <cfRule type="cellIs" priority="4" operator="equal" aboveAverage="0" equalAverage="0" bottom="0" percent="0" rank="0" text="" dxfId="11">
      <formula>"BLOCKED"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4"/>
    <col collapsed="false" customWidth="true" hidden="false" outlineLevel="0" max="3" min="3" style="0" width="10"/>
    <col collapsed="false" customWidth="true" hidden="false" outlineLevel="0" max="4" min="4" style="0" width="18"/>
    <col collapsed="false" customWidth="true" hidden="false" outlineLevel="0" max="6" min="5" style="0" width="60"/>
    <col collapsed="false" customWidth="true" hidden="false" outlineLevel="0" max="7" min="7" style="0" width="12"/>
  </cols>
  <sheetData>
    <row r="1" customFormat="false" ht="15" hidden="false" customHeight="false" outlineLevel="0" collapsed="false">
      <c r="A1" s="13" t="s">
        <v>35</v>
      </c>
      <c r="B1" s="13" t="s">
        <v>529</v>
      </c>
      <c r="C1" s="13" t="s">
        <v>530</v>
      </c>
      <c r="D1" s="13" t="s">
        <v>531</v>
      </c>
      <c r="E1" s="13" t="s">
        <v>532</v>
      </c>
      <c r="F1" s="13" t="s">
        <v>533</v>
      </c>
      <c r="G1" s="13" t="s">
        <v>34</v>
      </c>
    </row>
    <row r="2" customFormat="false" ht="22.35" hidden="false" customHeight="false" outlineLevel="0" collapsed="false">
      <c r="A2" s="12" t="s">
        <v>65</v>
      </c>
      <c r="B2" s="12" t="s">
        <v>534</v>
      </c>
      <c r="C2" s="12" t="s">
        <v>535</v>
      </c>
      <c r="D2" s="12" t="s">
        <v>60</v>
      </c>
      <c r="E2" s="12" t="s">
        <v>536</v>
      </c>
      <c r="F2" s="12" t="s">
        <v>537</v>
      </c>
      <c r="G2" s="12" t="s">
        <v>538</v>
      </c>
    </row>
    <row r="3" customFormat="false" ht="22.35" hidden="false" customHeight="false" outlineLevel="0" collapsed="false">
      <c r="A3" s="12" t="s">
        <v>70</v>
      </c>
      <c r="B3" s="12" t="s">
        <v>539</v>
      </c>
      <c r="C3" s="12" t="s">
        <v>535</v>
      </c>
      <c r="D3" s="12" t="s">
        <v>66</v>
      </c>
      <c r="E3" s="12" t="s">
        <v>540</v>
      </c>
      <c r="F3" s="12" t="s">
        <v>541</v>
      </c>
      <c r="G3" s="12" t="s">
        <v>538</v>
      </c>
    </row>
    <row r="4" customFormat="false" ht="43.25" hidden="false" customHeight="false" outlineLevel="0" collapsed="false">
      <c r="A4" s="12" t="s">
        <v>119</v>
      </c>
      <c r="B4" s="12" t="s">
        <v>542</v>
      </c>
      <c r="C4" s="12" t="s">
        <v>535</v>
      </c>
      <c r="D4" s="12" t="s">
        <v>543</v>
      </c>
      <c r="E4" s="12" t="s">
        <v>544</v>
      </c>
      <c r="F4" s="12" t="s">
        <v>545</v>
      </c>
      <c r="G4" s="12" t="s">
        <v>538</v>
      </c>
    </row>
    <row r="5" customFormat="false" ht="22.35" hidden="false" customHeight="false" outlineLevel="0" collapsed="false">
      <c r="A5" s="12" t="s">
        <v>165</v>
      </c>
      <c r="B5" s="12" t="s">
        <v>546</v>
      </c>
      <c r="C5" s="12" t="s">
        <v>547</v>
      </c>
      <c r="D5" s="12" t="s">
        <v>162</v>
      </c>
      <c r="E5" s="12" t="s">
        <v>548</v>
      </c>
      <c r="F5" s="12" t="s">
        <v>549</v>
      </c>
      <c r="G5" s="12" t="s">
        <v>538</v>
      </c>
    </row>
    <row r="6" customFormat="false" ht="22.35" hidden="false" customHeight="false" outlineLevel="0" collapsed="false">
      <c r="A6" s="12" t="s">
        <v>375</v>
      </c>
      <c r="B6" s="12" t="s">
        <v>550</v>
      </c>
      <c r="C6" s="12" t="s">
        <v>535</v>
      </c>
      <c r="D6" s="12" t="s">
        <v>371</v>
      </c>
      <c r="E6" s="12" t="s">
        <v>551</v>
      </c>
      <c r="F6" s="12" t="s">
        <v>552</v>
      </c>
      <c r="G6" s="12" t="s">
        <v>538</v>
      </c>
    </row>
    <row r="7" customFormat="false" ht="22.35" hidden="false" customHeight="false" outlineLevel="0" collapsed="false">
      <c r="A7" s="12" t="s">
        <v>399</v>
      </c>
      <c r="B7" s="12" t="s">
        <v>553</v>
      </c>
      <c r="C7" s="12" t="s">
        <v>547</v>
      </c>
      <c r="D7" s="12" t="s">
        <v>554</v>
      </c>
      <c r="E7" s="12" t="s">
        <v>555</v>
      </c>
      <c r="F7" s="12" t="s">
        <v>556</v>
      </c>
      <c r="G7" s="12" t="s">
        <v>538</v>
      </c>
    </row>
    <row r="8" customFormat="false" ht="22.35" hidden="false" customHeight="false" outlineLevel="0" collapsed="false">
      <c r="A8" s="12" t="s">
        <v>344</v>
      </c>
      <c r="B8" s="12" t="s">
        <v>557</v>
      </c>
      <c r="C8" s="12" t="s">
        <v>547</v>
      </c>
      <c r="D8" s="12" t="s">
        <v>558</v>
      </c>
      <c r="E8" s="12" t="s">
        <v>559</v>
      </c>
      <c r="F8" s="12" t="s">
        <v>560</v>
      </c>
      <c r="G8" s="12" t="s">
        <v>538</v>
      </c>
    </row>
    <row r="9" customFormat="false" ht="22.35" hidden="false" customHeight="false" outlineLevel="0" collapsed="false">
      <c r="A9" s="12" t="s">
        <v>456</v>
      </c>
      <c r="B9" s="12" t="s">
        <v>561</v>
      </c>
      <c r="C9" s="12" t="s">
        <v>547</v>
      </c>
      <c r="D9" s="12" t="s">
        <v>452</v>
      </c>
      <c r="E9" s="12" t="s">
        <v>562</v>
      </c>
      <c r="F9" s="12" t="s">
        <v>563</v>
      </c>
      <c r="G9" s="12" t="s">
        <v>538</v>
      </c>
    </row>
    <row r="10" customFormat="false" ht="15" hidden="false" customHeight="false" outlineLevel="0" collapsed="false">
      <c r="A10" s="12" t="s">
        <v>319</v>
      </c>
      <c r="B10" s="12" t="s">
        <v>564</v>
      </c>
      <c r="C10" s="12" t="s">
        <v>535</v>
      </c>
      <c r="D10" s="12" t="s">
        <v>316</v>
      </c>
      <c r="E10" s="12" t="s">
        <v>565</v>
      </c>
      <c r="F10" s="12" t="s">
        <v>566</v>
      </c>
      <c r="G10" s="12" t="s">
        <v>538</v>
      </c>
    </row>
    <row r="11" customFormat="false" ht="22.35" hidden="false" customHeight="false" outlineLevel="0" collapsed="false">
      <c r="A11" s="12" t="s">
        <v>567</v>
      </c>
      <c r="B11" s="12" t="s">
        <v>568</v>
      </c>
      <c r="C11" s="12" t="s">
        <v>569</v>
      </c>
      <c r="D11" s="12" t="s">
        <v>570</v>
      </c>
      <c r="E11" s="12" t="s">
        <v>571</v>
      </c>
      <c r="F11" s="12" t="s">
        <v>572</v>
      </c>
      <c r="G11" s="12" t="s">
        <v>538</v>
      </c>
    </row>
    <row r="12" customFormat="false" ht="32.8" hidden="false" customHeight="false" outlineLevel="0" collapsed="false">
      <c r="A12" s="12" t="s">
        <v>573</v>
      </c>
      <c r="B12" s="12" t="s">
        <v>574</v>
      </c>
      <c r="C12" s="12" t="s">
        <v>535</v>
      </c>
      <c r="D12" s="12" t="s">
        <v>240</v>
      </c>
      <c r="E12" s="12" t="s">
        <v>575</v>
      </c>
      <c r="F12" s="12" t="s">
        <v>576</v>
      </c>
      <c r="G12" s="12" t="s">
        <v>577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15" hidden="false" customHeight="false" outlineLevel="0" collapsed="false">
      <c r="A1" s="14" t="s">
        <v>578</v>
      </c>
    </row>
    <row r="3" customFormat="false" ht="15" hidden="false" customHeight="false" outlineLevel="0" collapsed="false">
      <c r="A3" s="15" t="s">
        <v>579</v>
      </c>
    </row>
    <row r="4" customFormat="false" ht="15" hidden="false" customHeight="false" outlineLevel="0" collapsed="false">
      <c r="A4" s="15" t="e">
        <f aca="false">35 failed, 117 passed, 2 warnings, 24 subtests passed in 208.25s (0:3:28) =</f>
        <v>#VALUE!</v>
      </c>
    </row>
    <row r="5" customFormat="false" ht="15" hidden="false" customHeight="false" outlineLevel="0" collapsed="false">
      <c r="A5" s="15" t="s">
        <v>580</v>
      </c>
    </row>
    <row r="6" customFormat="false" ht="15" hidden="false" customHeight="false" outlineLevel="0" collapsed="false">
      <c r="A6" s="15"/>
    </row>
    <row r="7" customFormat="false" ht="15" hidden="false" customHeight="false" outlineLevel="0" collapsed="false">
      <c r="A7" s="15" t="s">
        <v>581</v>
      </c>
    </row>
    <row r="8" customFormat="false" ht="15" hidden="false" customHeight="false" outlineLevel="0" collapsed="false">
      <c r="A8" s="15" t="s">
        <v>582</v>
      </c>
    </row>
    <row r="9" customFormat="false" ht="15" hidden="false" customHeight="false" outlineLevel="0" collapsed="false">
      <c r="A9" s="15" t="s">
        <v>583</v>
      </c>
    </row>
    <row r="10" customFormat="false" ht="15" hidden="false" customHeight="false" outlineLevel="0" collapsed="false">
      <c r="A10" s="15" t="s">
        <v>584</v>
      </c>
    </row>
    <row r="11" customFormat="false" ht="15" hidden="false" customHeight="false" outlineLevel="0" collapsed="false">
      <c r="A11" s="15" t="s">
        <v>585</v>
      </c>
    </row>
    <row r="12" customFormat="false" ht="15" hidden="false" customHeight="false" outlineLevel="0" collapsed="false">
      <c r="A12" s="15" t="s">
        <v>586</v>
      </c>
    </row>
    <row r="13" customFormat="false" ht="15" hidden="false" customHeight="false" outlineLevel="0" collapsed="false">
      <c r="A13" s="15" t="s">
        <v>587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2026-10-19T09:03:55Z</dcterms:created>
  <dc:creator>openpyxl</dc:creator>
  <dc:description/>
  <dc:language>en-US</dc:language>
  <cp:lastModifiedBy/>
  <dcterms:modified xsi:type="dcterms:W3CDTF">2026-10-19T09:03:55Z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